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 &amp; Assumptions" state="visible" r:id="rId4"/>
    <sheet sheetId="2" name="Coverage Dashboard" state="visible" r:id="rId5"/>
    <sheet sheetId="3" name="Login Cases" state="visible" r:id="rId6"/>
    <sheet sheetId="4" name="Cart &amp; Checkout Cases" state="visible" r:id="rId7"/>
    <sheet sheetId="5" name="Requirements Traceability" state="visible" r:id="rId8"/>
    <sheet sheetId="6" name="Lists" state="veryHidden" r:id="rId9"/>
  </sheets>
  <calcPr calcId="171027"/>
</workbook>
</file>

<file path=xl/sharedStrings.xml><?xml version="1.0" encoding="utf-8"?>
<sst xmlns="http://schemas.openxmlformats.org/spreadsheetml/2006/main" count="1275" uniqueCount="474">
  <si>
    <t>demoblaze.com — Login &amp; Cart/Checkout Test Case Suite</t>
  </si>
  <si>
    <t>Generated 2026-08-14 by scripts/generate-test-case-workbook.ts — do not hand-edit this file's structure; edit scripts/test-case-data.ts and run "npm run gen:test-cases" instead.</t>
  </si>
  <si>
    <t>Sheets in this workbook</t>
  </si>
  <si>
    <t>•  Read Me &amp; Assumptions (this sheet) — scope, verified environment facts, and the rationale behind every deliberate scope decision below.</t>
  </si>
  <si>
    <t>•  Coverage Dashboard — live COUNTIF/COUNTIFS formulas against the two case sheets: totals by module/type/priority, automation ratio, and a rollup of every known documented defect.</t>
  </si>
  <si>
    <t>•  Login Cases / Cart &amp; Checkout Cases — one row per test case. Type/Priority/Automation Status/Layer/Execution Status/Module are dropdown-constrained (see the hidden "Lists" sheet) so edits stay within the same vocabulary this dashboard's formulas expect.</t>
  </si>
  <si>
    <t>•  Requirements Traceability — every requirement this suite is meant to cover, which case IDs cover it, and a live count of how much of that coverage is automated vs. manual.</t>
  </si>
  <si>
    <t>•  Lists (very hidden) — the canonical dropdown values backing data validation on the case sheets. Unhide it (right-click any sheet tab → Unhide) if you need to see or edit the allowed values themselves.</t>
  </si>
  <si>
    <t>Column reference (case sheets)</t>
  </si>
  <si>
    <t>Automation Status: Automated (has a real Playwright test), Manual (deliberately not automated — see reason in Automation Link), Planned (identified, not yet built).</t>
  </si>
  <si>
    <t>Execution Status: Pass (automated and currently passing against the live site), Documented Finding (automated, and the assertion encodes an actual observed defect — see Observed Result / Defect ID), Not Executed (manual/documented-only row, no automated run to report a status from).</t>
  </si>
  <si>
    <t>Expected Result states what a reasonable implementation should do. Observed Result is populated only when automation proved the live app actually diverges from that — this keeps "what should happen" and "what a known bug does instead" in separate columns rather than blended into one ambiguous sentence.</t>
  </si>
  <si>
    <t>Automation Link is a clickable relative link into tests/ui/*.spec.ts for every Automated row, using the same TC-* id in the spec's test title — so a failing CI test traces straight back to this row, and vice versa.</t>
  </si>
  <si>
    <t>Verified environment facts (captured from the live site, not assumed)</t>
  </si>
  <si>
    <t>These were confirmed by inspecting real network traffic against https://www.demoblaze.com and https://api.demoblaze.com while building this suite (see scripts/test-case-data.ts row comments and the corresponding spec files for the specific case each fact backs).</t>
  </si>
  <si>
    <t>•  Cart identity: a guest cart is scoped by a random `user` cookie minted on first page load; POST /addtocart and /viewcart both carry that cookie value in the request body. Logging in swaps in a separate `tokenp_` session-token cookie, and the account cart is a distinct store from the guest cart — the two do NOT merge on login (TC-CART-23). The account cart persists across logout/login (TC-CART-22). Two independent guest browser contexts never see each other's items (TC-CART-12).</t>
  </si>
  <si>
    <t>•  Session tokens: `tokenp_` is a plain (non-httpOnly) cookie holding what looks like an unsigned base64 string, but session validity is actually re-checked server-side via POST /check on load — a forged/never-issued token is rejected, not trusted at face value (TC-LOGIN-18). Logging out removes the cookie so a reload cannot silently restore the old session (TC-LOGIN-19). A genuine session correctly survives a hard reload (TC-LOGIN-17).</t>
  </si>
  <si>
    <t>•  Displayed-price integrity: when a test modifies POST /view to return $1, that value reaches the cart, order modal, and confirmation (TC-CART-21, DEF-CART-04). DemoBlaze has no backend order call in this flow, so this case makes no claim about server-side order acceptance.</t>
  </si>
  <si>
    <t>•  The purchase confirmation echoes the entered card number back in full, unmasked (TC-CART-20, DEF-CART-03) — a sensitive-data-exposure weakness, distinct from the already-known lack of card format/expiry validation (TC-CART-09/10).</t>
  </si>
  <si>
    <t>•  The checkout "Name"/"Card" required-field check tests raw string truthiness, not trimmed content: a whitespace-only card ("   ") is treated as "filled", so the order proceeds and the confirmation then renders a blank Card Number (TC-CART-26, DEF-CART-05).</t>
  </si>
  <si>
    <t>•  demoblaze calls native alert()/confirm() dialogs synchronously inside click handlers for client-side validation, which blocks the page's JS thread until dismissed — see BasePage.captureDialogMessage() in the framework for how tests avoid deadlocking on this.</t>
  </si>
  <si>
    <t>•  A failing auth API (POST /login returning 500) produces no error message to the user at all — not a crash, but a silent no-op with the modal left open (TC-LOGIN-23, DEF-LOGIN-01).</t>
  </si>
  <si>
    <t>Deliberate scope decisions</t>
  </si>
  <si>
    <t>TC-LOGIN-21 (repeated failed logins / rate limiting) is documented, not automated. demoblaze.com is a real, shared public demo used by other testers and candidates; deliberately hammering its login endpoint to find the actual lockout threshold would be indistinguishable from a small denial-of-service test against a system we don't own. The case is fully specified (steps, expected behavior for a hardened system) so it is ready to run manually or against a non-shared/staging environment.</t>
  </si>
  <si>
    <t>TC-LOGIN-22 compares the unknown-user and wrong-password responses in one dedicated security check. TC-LOGIN-04 and TC-LOGIN-05 remain as atomic negative-path tests.</t>
  </si>
  <si>
    <t>Authenticated cart cases provision a fresh account per test, so browser projects can run in parallel without sharing cart state.</t>
  </si>
  <si>
    <t>Regenerating this workbook</t>
  </si>
  <si>
    <t>Source of truth: scripts/test-case-data.ts (case rows + REQUIREMENTS) and scripts/generate-test-case-workbook.ts (layout/formatting/formulas). Run `npm run gen:test-cases` after editing either file — never hand-edit the generated .xlsx, since the next regeneration will overwrite it.</t>
  </si>
  <si>
    <t>Test Coverage Dashboard</t>
  </si>
  <si>
    <t>Generated 2026-08-14 — every count below is a live formula against the case sheets, not a hand-typed snapshot.</t>
  </si>
  <si>
    <t>By module</t>
  </si>
  <si>
    <t>Module</t>
  </si>
  <si>
    <t>Total Cases</t>
  </si>
  <si>
    <t>Automated</t>
  </si>
  <si>
    <t>Manual/Planned</t>
  </si>
  <si>
    <t>Documented Findings</t>
  </si>
  <si>
    <t>Pass</t>
  </si>
  <si>
    <t>% Automated</t>
  </si>
  <si>
    <t>Login</t>
  </si>
  <si>
    <t>Cart &amp; Checkout</t>
  </si>
  <si>
    <t>Total</t>
  </si>
  <si>
    <t>By type (Login + Cart &amp; Checkout combined)</t>
  </si>
  <si>
    <t>Type</t>
  </si>
  <si>
    <t>Count</t>
  </si>
  <si>
    <t>Functional</t>
  </si>
  <si>
    <t>Negative</t>
  </si>
  <si>
    <t>Edge</t>
  </si>
  <si>
    <t>Security</t>
  </si>
  <si>
    <t>By priority (Login + Cart &amp; Checkout combined)</t>
  </si>
  <si>
    <t>Priority</t>
  </si>
  <si>
    <t>Critical</t>
  </si>
  <si>
    <t>High</t>
  </si>
  <si>
    <t>Medium</t>
  </si>
  <si>
    <t>Low</t>
  </si>
  <si>
    <t>Known defects (rows with a non-blank Defect ID)</t>
  </si>
  <si>
    <t>Defect ID</t>
  </si>
  <si>
    <t>Case</t>
  </si>
  <si>
    <t>Summary</t>
  </si>
  <si>
    <t>DEF-LOGIN-02</t>
  </si>
  <si>
    <t>TC-LOGIN-22</t>
  </si>
  <si>
    <t>"User does not exist." (unknown user) vs. "Wrong password." (known user, bad password) — distinguishable messages.</t>
  </si>
  <si>
    <t>DEF-LOGIN-01</t>
  </si>
  <si>
    <t>TC-LOGIN-23</t>
  </si>
  <si>
    <t>No dialog/alert is raised; #logInModal remains visible with no error text; page remains responsive.</t>
  </si>
  <si>
    <t>DEF-CART-01</t>
  </si>
  <si>
    <t>TC-CART-09</t>
  </si>
  <si>
    <t>Purchase still succeeds — no card-format validation exists.</t>
  </si>
  <si>
    <t>DEF-CART-02</t>
  </si>
  <si>
    <t>TC-CART-10</t>
  </si>
  <si>
    <t>Purchase still succeeds — no expiry validation exists.</t>
  </si>
  <si>
    <t>DEF-CART-06</t>
  </si>
  <si>
    <t>TC-CART-14</t>
  </si>
  <si>
    <t>The modal still opens, with a total of 0 — there is no "cart is empty" guard.</t>
  </si>
  <si>
    <t>DBZ-CART-001</t>
  </si>
  <si>
    <t>TC-CART-19</t>
  </si>
  <si>
    <t>Two POST /deletecart requests are sent when Purchase is triggered twice rapidly.</t>
  </si>
  <si>
    <t>DEF-CART-03</t>
  </si>
  <si>
    <t>TC-CART-20</t>
  </si>
  <si>
    <t>The full, unmasked PAN is echoed back verbatim in the confirmation text.</t>
  </si>
  <si>
    <t>DEF-CART-04</t>
  </si>
  <si>
    <t>TC-CART-21</t>
  </si>
  <si>
    <t>The modified $1 price propagates through the client-rendered cart total, order-modal total, and confirmation Amount. No backend order acceptance is asserted.</t>
  </si>
  <si>
    <t>DEF-CART-05</t>
  </si>
  <si>
    <t>TC-CART-26</t>
  </si>
  <si>
    <t>The required-field check tests the raw string’s truthiness, not its trimmed content, so "   " counts as "filled": no alert fires, the purchase proceeds, and the confirmation then renders a blank Card Number.</t>
  </si>
  <si>
    <t>Test Case ID</t>
  </si>
  <si>
    <t>Requirement ID</t>
  </si>
  <si>
    <t>Scenario</t>
  </si>
  <si>
    <t>Preconditions</t>
  </si>
  <si>
    <t>Test Data</t>
  </si>
  <si>
    <t>Steps</t>
  </si>
  <si>
    <t>Expected Result</t>
  </si>
  <si>
    <t>Postconditions / Cleanup</t>
  </si>
  <si>
    <t>Automation Status</t>
  </si>
  <si>
    <t>Layer</t>
  </si>
  <si>
    <t>Suite Tags</t>
  </si>
  <si>
    <t>Browser / Project Scope</t>
  </si>
  <si>
    <t>Automation Link</t>
  </si>
  <si>
    <t>Observed Result</t>
  </si>
  <si>
    <t>Execution Status</t>
  </si>
  <si>
    <t>Owner</t>
  </si>
  <si>
    <t>Last Reviewed</t>
  </si>
  <si>
    <t>TC-LOGIN-01</t>
  </si>
  <si>
    <t>REQ-LOGIN-AUTH</t>
  </si>
  <si>
    <t>Valid credentials log the user in</t>
  </si>
  <si>
    <t>A registered account exists (username/password known).</t>
  </si>
  <si>
    <t>username: &lt;valid registered username&gt;, password: &lt;matching password&gt;</t>
  </si>
  <si>
    <t xml:space="preserve">1. Open the home page.
2. Click "Log in" in the nav bar.
3. Enter a valid username and password.
4. Click "Log in".</t>
  </si>
  <si>
    <t>Modal closes; nav bar shows "Welcome &lt;username&gt;" and a "Log out" link; "Log in" link is hidden.</t>
  </si>
  <si>
    <t>User remains logged in for the rest of the test.</t>
  </si>
  <si>
    <t>UI</t>
  </si>
  <si>
    <t>@smoke @regression</t>
  </si>
  <si>
    <t>chromium, firefox, webkit, mobile-chrome</t>
  </si>
  <si>
    <t>tests/ui/login.spec.ts — TC-LOGIN-01</t>
  </si>
  <si>
    <t/>
  </si>
  <si>
    <t>Bach Nguyen — QA Automation</t>
  </si>
  <si>
    <t>2026-08-10</t>
  </si>
  <si>
    <t>TC-LOGIN-02</t>
  </si>
  <si>
    <t>REQ-LOGIN-LOGOUT</t>
  </si>
  <si>
    <t>Logging out returns to the logged-out state</t>
  </si>
  <si>
    <t>User is logged in.</t>
  </si>
  <si>
    <t>n/a</t>
  </si>
  <si>
    <t>1. Click "Log out" in the nav bar.</t>
  </si>
  <si>
    <t>"Log in" / "Sign up" links reappear; the welcome label is hidden.</t>
  </si>
  <si>
    <t>User is logged out.</t>
  </si>
  <si>
    <t>@regression</t>
  </si>
  <si>
    <t>tests/ui/login.spec.ts — TC-LOGIN-02</t>
  </si>
  <si>
    <t>TC-LOGIN-03</t>
  </si>
  <si>
    <t>Session survives navigating to another page</t>
  </si>
  <si>
    <t xml:space="preserve">1. Log in.
2. Click "Cart" in the nav bar.</t>
  </si>
  <si>
    <t>The cart page still shows "Welcome &lt;username&gt;" — login state is not lost on navigation.</t>
  </si>
  <si>
    <t>User remains logged in on the cart page.</t>
  </si>
  <si>
    <t>tests/ui/login.spec.ts — TC-LOGIN-03</t>
  </si>
  <si>
    <t>TC-LOGIN-04</t>
  </si>
  <si>
    <t>REQ-LOGIN-NEGATIVE</t>
  </si>
  <si>
    <t>A non-existent username is rejected</t>
  </si>
  <si>
    <t>The chosen username does not exist in the system.</t>
  </si>
  <si>
    <t>username: &lt;random unregistered username&gt;, password: irrelevant-password</t>
  </si>
  <si>
    <t xml:space="preserve">1. Open the login modal.
2. Enter a username that has never been registered.
3. Enter any password.
4. Click "Log in".</t>
  </si>
  <si>
    <t>An alert reading "User does not exist." is shown; the user is not logged in.</t>
  </si>
  <si>
    <t>None.</t>
  </si>
  <si>
    <t>tests/ui/login.spec.ts — TC-LOGIN-04</t>
  </si>
  <si>
    <t>TC-LOGIN-05</t>
  </si>
  <si>
    <t>The correct username with the wrong password is rejected</t>
  </si>
  <si>
    <t>A registered account exists.</t>
  </si>
  <si>
    <t>username: &lt;valid username&gt;, password: &lt;valid password&gt; + "-wrong"</t>
  </si>
  <si>
    <t xml:space="preserve">1. Open the login modal.
2. Enter the correct username.
3. Enter an incorrect password.
4. Click "Log in".</t>
  </si>
  <si>
    <t>An alert reading "Wrong password." is shown; the user is not logged in.</t>
  </si>
  <si>
    <t>tests/ui/login.spec.ts — TC-LOGIN-05</t>
  </si>
  <si>
    <t>TC-LOGIN-06</t>
  </si>
  <si>
    <t>REQ-LOGIN-VALIDATE</t>
  </si>
  <si>
    <t>Submitting with both fields empty is rejected client-side</t>
  </si>
  <si>
    <t>username: "", password: ""</t>
  </si>
  <si>
    <t xml:space="preserve">1. Open the login modal.
2. Leave both fields empty.
3. Click "Log in".</t>
  </si>
  <si>
    <t>An alert reading "Please fill out Username and Password." is shown before any network call; the modal stays open.</t>
  </si>
  <si>
    <t>Modal remains open.</t>
  </si>
  <si>
    <t>tests/ui/login.spec.ts — TC-LOGIN-06</t>
  </si>
  <si>
    <t>TC-LOGIN-07</t>
  </si>
  <si>
    <t>Submitting with only the password filled is rejected client-side</t>
  </si>
  <si>
    <t>username: "", password: &lt;valid password&gt;</t>
  </si>
  <si>
    <t xml:space="preserve">1. Open the login modal.
2. Leave username empty; fill in a password.
3. Click "Log in".</t>
  </si>
  <si>
    <t>Same client-side validation alert as TC-LOGIN-06.</t>
  </si>
  <si>
    <t>tests/ui/login.spec.ts — TC-LOGIN-07</t>
  </si>
  <si>
    <t>TC-LOGIN-08</t>
  </si>
  <si>
    <t>REQ-LOGIN-SECURITY</t>
  </si>
  <si>
    <t>A SQL-injection-shaped username is treated as plain text, not exploited</t>
  </si>
  <si>
    <t>username: &lt;run-unique prefix&gt;' OR '1'='1' --, password: ' OR '1'='1' --</t>
  </si>
  <si>
    <t xml:space="preserve">1. Open the login modal.
2. Enter a run-unique-prefixed ' OR '1'='1' -- as the username, and the raw payload as the password.
3. Click "Log in".</t>
  </si>
  <si>
    <t>Treated as an ordinary, unrecognized username: an alert reading "User does not exist." is shown; no SQL error, no crash, and — critically — no bypassed login.</t>
  </si>
  <si>
    <t>@edge @security @regression</t>
  </si>
  <si>
    <t>tests/ui/login.spec.ts — TC-LOGIN-08</t>
  </si>
  <si>
    <t>TC-LOGIN-09</t>
  </si>
  <si>
    <t>REQ-LOGIN-RESILIENCE</t>
  </si>
  <si>
    <t>A very long username is handled without crashing the page</t>
  </si>
  <si>
    <t>username: 'a'.repeat(500), password: irrelevant-password</t>
  </si>
  <si>
    <t xml:space="preserve">1. Open the login modal.
2. Enter a 500-character username.
3. Click "Log in".</t>
  </si>
  <si>
    <t>An error alert is shown (not a crash); the page remains responsive.</t>
  </si>
  <si>
    <t>@edge</t>
  </si>
  <si>
    <t>tests/ui/login.spec.ts — TC-LOGIN-09</t>
  </si>
  <si>
    <t>TC-LOGIN-10</t>
  </si>
  <si>
    <t>Username lookup is case-sensitive</t>
  </si>
  <si>
    <t>username: &lt;VALID USERNAME UPPERCASED&gt;, password: &lt;valid password&gt;</t>
  </si>
  <si>
    <t xml:space="preserve">1. Open the login modal.
2. Enter the registered username in uppercase.
3. Enter the correct password.
4. Click "Log in".</t>
  </si>
  <si>
    <t>Rejected with "User does not exist." — documents actual behavior (no case-folding) rather than assuming it.</t>
  </si>
  <si>
    <t>@edge @regression</t>
  </si>
  <si>
    <t>tests/ui/login.spec.ts — TC-LOGIN-10</t>
  </si>
  <si>
    <t>TC-LOGIN-11</t>
  </si>
  <si>
    <t>Only username filled, password empty is rejected</t>
  </si>
  <si>
    <t>username: &lt;valid username&gt;, password: ""</t>
  </si>
  <si>
    <t xml:space="preserve">1. Open the login modal.
2. Fill in a username; leave password empty.
3. Click "Log in".</t>
  </si>
  <si>
    <t>Same "Please fill out Username and Password." alert as TC-LOGIN-06/07.</t>
  </si>
  <si>
    <t>Manual</t>
  </si>
  <si>
    <t>n/a — documented only</t>
  </si>
  <si>
    <t>Not automated — symmetric case of TC-LOGIN-07, same client-side validation code path.</t>
  </si>
  <si>
    <t>Not Executed</t>
  </si>
  <si>
    <t>TC-LOGIN-12</t>
  </si>
  <si>
    <t>Leading/trailing whitespace in credentials is treated literally (not trimmed)</t>
  </si>
  <si>
    <t>username: " &lt;valid username&gt;", password: &lt;valid password&gt;</t>
  </si>
  <si>
    <t xml:space="preserve">1. Open the login modal.
2. Enter the valid username with a leading space.
3. Enter the valid password.
4. Click "Log in".</t>
  </si>
  <si>
    <t>Rejected as an unknown user — the app does not trim whitespace before lookup.</t>
  </si>
  <si>
    <t>Documented for manual/exploratory verification.</t>
  </si>
  <si>
    <t>TC-LOGIN-13</t>
  </si>
  <si>
    <t>REQ-LOGIN-UX</t>
  </si>
  <si>
    <t>Closing the login modal via the × button cancels without submitting</t>
  </si>
  <si>
    <t xml:space="preserve">1. Open the login modal.
2. Enter any credentials.
3. Click the × close button instead of "Log in".</t>
  </si>
  <si>
    <t>Modal closes; no network request is made; user remains logged out.</t>
  </si>
  <si>
    <t>TC-LOGIN-14</t>
  </si>
  <si>
    <t>An XSS-shaped username is rendered as inert text, not executed</t>
  </si>
  <si>
    <t>username: &lt;script&gt;alert(1)&lt;/script&gt;</t>
  </si>
  <si>
    <t xml:space="preserve">1. Open the login modal.
2. Enter &lt;script&gt;alert(1)&lt;/script&gt; as the username.
3. Submit.</t>
  </si>
  <si>
    <t>No script executes; the string is handled as an ordinary (rejected) username.</t>
  </si>
  <si>
    <t>Documented for manual/exploratory verification — same family as TC-LOGIN-08. TC-CART-24 automates the equivalent payload against the checkout Name field.</t>
  </si>
  <si>
    <t>TC-LOGIN-15</t>
  </si>
  <si>
    <t>Password characters are masked in the input field</t>
  </si>
  <si>
    <t>password: anything</t>
  </si>
  <si>
    <t xml:space="preserve">1. Open the login modal.
2. Type into the password field.</t>
  </si>
  <si>
    <t>Characters render as dots/asterisks, not plain text.</t>
  </si>
  <si>
    <t>Documented for manual/exploratory verification (visual property, not a functional assertion).</t>
  </si>
  <si>
    <t>TC-LOGIN-16</t>
  </si>
  <si>
    <t>A Unicode/emoji username is handled without crashing</t>
  </si>
  <si>
    <t>username: 用户🙂test</t>
  </si>
  <si>
    <t xml:space="preserve">1. Open the login modal.
2. Enter a username containing emoji/non-Latin characters.
3. Submit.</t>
  </si>
  <si>
    <t>Rejected as an unknown user; page remains responsive, no crash.</t>
  </si>
  <si>
    <t>TC-LOGIN-17</t>
  </si>
  <si>
    <t>Login session persists across a full page reload</t>
  </si>
  <si>
    <t xml:space="preserve">1. Log in.
2. Hard-reload the page (not an in-app navigation).</t>
  </si>
  <si>
    <t>The welcome label and "Log out" link are still shown after reload — verified against the live site: the session lives in a `tokenp_` cookie (not localStorage), so a reload re-sends it and the session is correctly re-resolved.</t>
  </si>
  <si>
    <t>User remains logged in.</t>
  </si>
  <si>
    <t>tests/ui/login.spec.ts — TC-LOGIN-17</t>
  </si>
  <si>
    <t>TC-LOGIN-18</t>
  </si>
  <si>
    <t>A forged session-token cookie is rejected, not trusted client-side</t>
  </si>
  <si>
    <t>None (starts logged out).</t>
  </si>
  <si>
    <t>tokenp_ cookie := base64("forged-admin_&lt;timestamp&gt;") — a value the server never issued</t>
  </si>
  <si>
    <t xml:space="preserve">1. Load the site as a guest.
2. Inject a forged `tokenp_` cookie with an arbitrary, never-issued value.
3. Reload.</t>
  </si>
  <si>
    <t>The app does NOT show a logged-in state for the forged identity — verified against the live site: session resolution round-trips the token through POST /check server-side and rejects an unrecognized one, rather than trusting the cookie at face value.</t>
  </si>
  <si>
    <t>@security @edge</t>
  </si>
  <si>
    <t>tests/ui/login.spec.ts — TC-LOGIN-18</t>
  </si>
  <si>
    <t>TC-LOGIN-19</t>
  </si>
  <si>
    <t>Logging out clears the session token so it can't be silently restored on reload</t>
  </si>
  <si>
    <t xml:space="preserve">1. Log in.
2. Log out.
3. Inspect cookies, then reload.</t>
  </si>
  <si>
    <t>The `tokenp_` cookie is gone after logout, and the reload still shows a logged-out state — the old session cannot be replayed just by refreshing.</t>
  </si>
  <si>
    <t>User remains logged out.</t>
  </si>
  <si>
    <t>@security @regression</t>
  </si>
  <si>
    <t>tests/ui/login.spec.ts — TC-LOGIN-19</t>
  </si>
  <si>
    <t>TC-LOGIN-20</t>
  </si>
  <si>
    <t>A very long password is handled without crashing the page</t>
  </si>
  <si>
    <t>username: &lt;random&gt;, password: 'a'.repeat(500)</t>
  </si>
  <si>
    <t xml:space="preserve">1. Open the login modal.
2. Enter a normal username and a 500-character password.
3. Click "Log in".</t>
  </si>
  <si>
    <t>An error alert is shown (not a crash); the page remains responsive — the password-length symmetric case of TC-LOGIN-09.</t>
  </si>
  <si>
    <t>tests/ui/login.spec.ts — TC-LOGIN-20</t>
  </si>
  <si>
    <t>TC-LOGIN-21</t>
  </si>
  <si>
    <t>Repeated failed login attempts are not rate-limited or locked out</t>
  </si>
  <si>
    <t>username: &lt;valid username&gt;, password: &lt;20 sequential wrong passwords&gt;</t>
  </si>
  <si>
    <t xml:space="preserve">1. Submit the login form with the correct username and an incorrect password.
2. Repeat with 20+ rapid attempts.
3. Observe whether the account locks, a CAPTCHA appears, or requests start being throttled/refused.</t>
  </si>
  <si>
    <t>Risk to document, not to reproduce here: demoblaze.com is a real, shared public demo used by other testers, so deliberately hammering its login endpoint to find the actual threshold is out of scope for automation. Expected behavior for a production system would be a lockout/backoff after N attempts; record whatever threshold (if any) is observed during manual/exploratory review.</t>
  </si>
  <si>
    <t>n/a — documented only, intentionally not automated (see Read Me sheet)</t>
  </si>
  <si>
    <t>Deliberately not automated — see "Read Me &amp; Assumptions" sheet for the rationale (avoids load-testing a shared public demo site).</t>
  </si>
  <si>
    <t>Distinct error messages for "unknown user" vs. "wrong password" enable username enumeration</t>
  </si>
  <si>
    <t>see TC-LOGIN-04 (unknown user) and TC-LOGIN-05 (wrong password)</t>
  </si>
  <si>
    <t xml:space="preserve">1. Attempt login with an unregistered username (TC-LOGIN-04).
2. Attempt login with a registered username and wrong password (TC-LOGIN-05).
3. Compare the two error messages.</t>
  </si>
  <si>
    <t>Both failures use the same generic message so the response does not disclose whether the username exists.</t>
  </si>
  <si>
    <t>tests/ui/login.spec.ts — TC-LOGIN-22</t>
  </si>
  <si>
    <t>Documented Finding</t>
  </si>
  <si>
    <t>A failing auth API leaves the login modal open without crashing the page</t>
  </si>
  <si>
    <t>POST /login intercepted to return HTTP 500</t>
  </si>
  <si>
    <t xml:space="preserve">1. Intercept POST /login to return a 500 error.
2. Open the login modal, fill in any credentials, submit.</t>
  </si>
  <si>
    <t>A clear, recoverable error is shown; the modal remains open, the user stays logged out, and the page remains usable.</t>
  </si>
  <si>
    <t>tests/ui/login.spec.ts — TC-LOGIN-23</t>
  </si>
  <si>
    <t>TC-CART-01</t>
  </si>
  <si>
    <t>REQ-CART-ADD</t>
  </si>
  <si>
    <t>Adding a product surfaces a confirmation and lists it in the cart</t>
  </si>
  <si>
    <t>None (works whether logged in or as a guest).</t>
  </si>
  <si>
    <t>product: Samsung galaxy s6</t>
  </si>
  <si>
    <t xml:space="preserve">1. Open a product page.
2. Click "Add to cart".
3. Navigate to the cart page.</t>
  </si>
  <si>
    <t>An alert confirms "Product added." (with or without trailing period); the product appears as exactly one row in the cart.</t>
  </si>
  <si>
    <t>Cart contains one item.</t>
  </si>
  <si>
    <t>tests/ui/cart.spec.ts — TC-CART-01</t>
  </si>
  <si>
    <t>TC-CART-02</t>
  </si>
  <si>
    <t>REQ-CART-CHECKOUT-SUBMIT</t>
  </si>
  <si>
    <t>Full journey: log in, add to cart, place an order</t>
  </si>
  <si>
    <t>product: Samsung galaxy s6; name: QA Automation; card: 4111111111111111; month: 12; year: 2030</t>
  </si>
  <si>
    <t xml:space="preserve">1. Log in.
2. Clear any pre-existing cart contents.
3. Add a product to the cart.
4. Open "Place Order".
5. Fill in Name, Country, City, Card, Month, Year.
6. Click "Purchase".</t>
  </si>
  <si>
    <t>Cart total equals the product price; the Place Order total matches; purchase succeeds and shows a confirmation with a non-empty order ID, the correct amount, and the entered name.</t>
  </si>
  <si>
    <t>Cart is empty (purchase clears it — see TC-CART-18).</t>
  </si>
  <si>
    <t>@smoke @regression @e2e</t>
  </si>
  <si>
    <t>tests/ui/cart.spec.ts — TC-CART-02 (primary end-to-end demo scenario)</t>
  </si>
  <si>
    <t>TC-CART-03</t>
  </si>
  <si>
    <t>Adding the same product twice creates two separate line items</t>
  </si>
  <si>
    <t>product: Apple monitor 24</t>
  </si>
  <si>
    <t xml:space="preserve">1. Open a product page.
2. Click "Add to cart" twice in a row.
3. Open the cart.</t>
  </si>
  <si>
    <t>Two separate rows for the same product appear — demoblaze has no quantity/merge concept, documented rather than assumed.</t>
  </si>
  <si>
    <t>Cart contains two items.</t>
  </si>
  <si>
    <t>tests/ui/cart.spec.ts — TC-CART-03</t>
  </si>
  <si>
    <t>TC-CART-04</t>
  </si>
  <si>
    <t>REQ-CART-DELETE</t>
  </si>
  <si>
    <t>Deleting an item removes it from the cart</t>
  </si>
  <si>
    <t>The cart contains at least one item.</t>
  </si>
  <si>
    <t>product: Sony vaio i5</t>
  </si>
  <si>
    <t xml:space="preserve">1. Open the cart.
2. Click "Delete" on a row.</t>
  </si>
  <si>
    <t>The row disappears and the cart row count decreases by one.</t>
  </si>
  <si>
    <t>Row removed.</t>
  </si>
  <si>
    <t>tests/ui/cart.spec.ts — TC-CART-04</t>
  </si>
  <si>
    <t>TC-CART-05</t>
  </si>
  <si>
    <t>REQ-CART-CHECKOUT-VALIDATE</t>
  </si>
  <si>
    <t>Placing an order with Name and Card both empty is rejected client-side</t>
  </si>
  <si>
    <t>name: "", card: ""</t>
  </si>
  <si>
    <t xml:space="preserve">1. Open "Place Order".
2. Fill only Country/City/Month/Year; leave Name and Card blank.
3. Click "Purchase".</t>
  </si>
  <si>
    <t>An alert reading "Please fill out Name and Creditcard." is shown; no confirmation dialog appears.</t>
  </si>
  <si>
    <t>Order modal remains open, no purchase made.</t>
  </si>
  <si>
    <t>tests/ui/cart.spec.ts — TC-CART-05</t>
  </si>
  <si>
    <t>TC-CART-06</t>
  </si>
  <si>
    <t>Optional address/date fields can be left blank</t>
  </si>
  <si>
    <t>name: Minimal Fields, card: 4111111111111111</t>
  </si>
  <si>
    <t xml:space="preserve">1. Open "Place Order".
2. Fill only Name and Card; leave Country/City/Month/Year blank.
3. Click "Purchase".</t>
  </si>
  <si>
    <t>Purchase succeeds; the confirmation shows the entered name — only Name/Card are truly required.</t>
  </si>
  <si>
    <t>Cart is empty (see TC-CART-18).</t>
  </si>
  <si>
    <t>tests/ui/cart.spec.ts — TC-CART-06</t>
  </si>
  <si>
    <t>TC-CART-07</t>
  </si>
  <si>
    <t>REQ-CART-VIEW</t>
  </si>
  <si>
    <t>The cart total equals the sum of its line items</t>
  </si>
  <si>
    <t>products: Samsung galaxy s6 + Sony vaio i5</t>
  </si>
  <si>
    <t xml:space="preserve">1. Clear the cart.
2. Add two different products.
3. Open the cart and read the displayed total.</t>
  </si>
  <si>
    <t>The displayed total exactly equals the sum of both products’ prices — a genuine sum, not a single-item total.</t>
  </si>
  <si>
    <t>tests/ui/cart.spec.ts — TC-CART-07</t>
  </si>
  <si>
    <t>TC-CART-08</t>
  </si>
  <si>
    <t>REQ-CART-IDENTITY</t>
  </si>
  <si>
    <t>The cart is reachable without being logged in</t>
  </si>
  <si>
    <t>1. Navigate directly to /cart.html as a guest.</t>
  </si>
  <si>
    <t>The cart page and checkout control render without requiring authentication.</t>
  </si>
  <si>
    <t>tests/ui/cart.spec.ts — TC-CART-08</t>
  </si>
  <si>
    <t>A non-numeric card number is still accepted</t>
  </si>
  <si>
    <t>card: "not-a-card-number"</t>
  </si>
  <si>
    <t xml:space="preserve">1. Open "Place Order".
2. Fill Name and enter a non-numeric string as Card.
3. Click "Purchase".</t>
  </si>
  <si>
    <t>A format-validating checkout would reject this before submission.</t>
  </si>
  <si>
    <t>Documented finding — candidate for future automation once product owner confirms expected behavior.</t>
  </si>
  <si>
    <t>An already-expired card year is still accepted</t>
  </si>
  <si>
    <t>year: 2010</t>
  </si>
  <si>
    <t xml:space="preserve">1. Open "Place Order".
2. Fill Name/Card, set Year to a year in the past.
3. Click "Purchase".</t>
  </si>
  <si>
    <t>A real checkout would reject an already-expired card.</t>
  </si>
  <si>
    <t>Documented finding — same category as TC-CART-09.</t>
  </si>
  <si>
    <t>TC-CART-11</t>
  </si>
  <si>
    <t>Deleting the only remaining item empties the cart total</t>
  </si>
  <si>
    <t>The cart contains exactly one item.</t>
  </si>
  <si>
    <t>1. Delete the last remaining row.</t>
  </si>
  <si>
    <t>The row list is empty and the total label shows no value.</t>
  </si>
  <si>
    <t>Cart is empty.</t>
  </si>
  <si>
    <t>tests/ui/cart.spec.ts — TC-CART-11</t>
  </si>
  <si>
    <t>TC-CART-12</t>
  </si>
  <si>
    <t>Guest carts are isolated between browser contexts</t>
  </si>
  <si>
    <t xml:space="preserve">1. Add a product to the cart as a guest in one browser context.
2. Open a second, independent browser context as a fresh guest.
3. Load the cart in the second context.</t>
  </si>
  <si>
    <t>The second context does NOT see the first context’s item. DemoBlaze scopes guest carts by a per-browser `user` cookie (set on first page load) and authenticated carts by the login token — verified against the live site by inspecting the `/addtocart` and `/viewcart` request bodies, not assumed.</t>
  </si>
  <si>
    <t>tests/ui/cart.spec.ts — TC-CART-12</t>
  </si>
  <si>
    <t>TC-CART-13</t>
  </si>
  <si>
    <t>Product page price matches the price shown in the cart row</t>
  </si>
  <si>
    <t xml:space="preserve">1. Read the price on a product page.
2. Add it to the cart.
3. Compare against the price shown in the cart row.</t>
  </si>
  <si>
    <t>The two prices match exactly.</t>
  </si>
  <si>
    <t>Implicitly covered by the price-equality assertions in TC-CART-02/07/27.</t>
  </si>
  <si>
    <t>Opening "Place Order" on an empty cart is not blocked</t>
  </si>
  <si>
    <t>The cart has been cleared.</t>
  </si>
  <si>
    <t xml:space="preserve">1. Clear the cart.
2. Click "Place Order".</t>
  </si>
  <si>
    <t>A guarded checkout would refuse to open on an empty cart.</t>
  </si>
  <si>
    <t>tests/ui/cart.spec.ts — TC-CART-14</t>
  </si>
  <si>
    <t>TC-CART-15</t>
  </si>
  <si>
    <t>Placing an order with only Name empty is rejected client-side</t>
  </si>
  <si>
    <t>name: "", card: 4111111111111111</t>
  </si>
  <si>
    <t xml:space="preserve">1. Open "Place Order".
2. Leave Name blank; fill Card.
3. Click "Purchase".</t>
  </si>
  <si>
    <t>Same "Please fill out Name and Creditcard." alert as TC-CART-05 — the check does not distinguish which of the two is missing.</t>
  </si>
  <si>
    <t>tests/ui/cart.spec.ts — TC-CART-15</t>
  </si>
  <si>
    <t>TC-CART-16</t>
  </si>
  <si>
    <t>Placing an order with only Card empty is rejected client-side</t>
  </si>
  <si>
    <t>name: Card Missing, card: ""</t>
  </si>
  <si>
    <t xml:space="preserve">1. Open "Place Order".
2. Fill Name; leave Card blank.
3. Click "Purchase".</t>
  </si>
  <si>
    <t>Same "Please fill out Name and Creditcard." alert as TC-CART-05/15.</t>
  </si>
  <si>
    <t>tests/ui/cart.spec.ts — TC-CART-16</t>
  </si>
  <si>
    <t>TC-CART-17</t>
  </si>
  <si>
    <t>Closing "Place Order" via the × button cancels without creating an order</t>
  </si>
  <si>
    <t xml:space="preserve">1. Open "Place Order".
2. Fill in valid Name/Card.
3. Click the × close button instead of "Purchase".</t>
  </si>
  <si>
    <t>The modal closes; no confirmation appears; the cart contents are unchanged.</t>
  </si>
  <si>
    <t>Cart contents unchanged.</t>
  </si>
  <si>
    <t>tests/ui/cart.spec.ts — TC-CART-17</t>
  </si>
  <si>
    <t>TC-CART-18</t>
  </si>
  <si>
    <t>Completing a purchase clears the cart afterward</t>
  </si>
  <si>
    <t xml:space="preserve">1. Add an item.
2. Complete a purchase.
3. Reopen the cart.</t>
  </si>
  <si>
    <t>The cart is empty after a successful purchase — verified against the live site with a response-waited read (not a single racy check).</t>
  </si>
  <si>
    <t>tests/ui/cart.spec.ts — TC-CART-18</t>
  </si>
  <si>
    <t>Rapid double-submit handling</t>
  </si>
  <si>
    <t xml:space="preserve">1. Open "Place Order", fill Name/Card.
2. Click "Purchase" twice as close together as possible.</t>
  </si>
  <si>
    <t>Only one checkout submission is processed.</t>
  </si>
  <si>
    <t>Cart is empty (purchase clears it).</t>
  </si>
  <si>
    <t>@edge @known-issue</t>
  </si>
  <si>
    <t>tests/ui/cart.spec.ts — TC-CART-19</t>
  </si>
  <si>
    <t>REQ-CART-SECURITY</t>
  </si>
  <si>
    <t>The purchase receipt displays the card number unmasked</t>
  </si>
  <si>
    <t>card: 4111111111111111</t>
  </si>
  <si>
    <t xml:space="preserve">1. Complete a purchase with a full 16-digit card number.
2. Read the "Card Number" field on the confirmation.</t>
  </si>
  <si>
    <t>A PCI-conscious checkout would mask all but the last 4 digits (e.g. "**** **** **** 1111").</t>
  </si>
  <si>
    <t>@security</t>
  </si>
  <si>
    <t>tests/ui/cart.spec.ts — TC-CART-20</t>
  </si>
  <si>
    <t>A modified product response controls the displayed checkout totals</t>
  </si>
  <si>
    <t>Intercepted POST /view response with `price` rewritten to 1</t>
  </si>
  <si>
    <t xml:space="preserve">1. Intercept every POST /view response and rewrite its `price` field to 1 (the only network hop that carries a price — POST /addtocart never submits one).
2. Add the product to the cart.
3. Read the cart total, the order-modal total, and the final purchase Amount.</t>
  </si>
  <si>
    <t>Displayed cart and confirmation totals remain consistent with a trusted product-price source, or the modified response is rejected.</t>
  </si>
  <si>
    <t>tests/ui/cart.spec.ts — TC-CART-21</t>
  </si>
  <si>
    <t>TC-CART-22</t>
  </si>
  <si>
    <t>A logged-in account's cart persists across logout and back in</t>
  </si>
  <si>
    <t xml:space="preserve">1. Log in and add an item.
2. Log out.
3. Log back in with the same account.
4. Reopen the cart.</t>
  </si>
  <si>
    <t>The item added before logout is still present — the account cart is a durable per-account store, not a per-session one.</t>
  </si>
  <si>
    <t>Cart is cleared by the test as cleanup.</t>
  </si>
  <si>
    <t>tests/ui/cart.spec.ts — TC-CART-22</t>
  </si>
  <si>
    <t>TC-CART-23</t>
  </si>
  <si>
    <t>A guest cart does not automatically merge into the account cart on login</t>
  </si>
  <si>
    <t xml:space="preserve">1. As a guest (same browser context), add an item.
2. Log in with a registered account in that same context.
3. Reopen the cart.</t>
  </si>
  <si>
    <t>The guest item does NOT appear under the now-logged-in account — guest and account carts are separate stores keyed by different identity cookies, confirmed against the live site rather than assumed either way.</t>
  </si>
  <si>
    <t>None (guest cart still holds the item; harmless, isolated per TC-CART-12).</t>
  </si>
  <si>
    <t>@security @edge @regression</t>
  </si>
  <si>
    <t>tests/ui/cart.spec.ts — TC-CART-23</t>
  </si>
  <si>
    <t>TC-CART-24</t>
  </si>
  <si>
    <t>An XSS-shaped checkout Name is rendered as inert text, not executed</t>
  </si>
  <si>
    <t>name: &lt;script&gt;window.__xss=1&lt;/script&gt;</t>
  </si>
  <si>
    <t xml:space="preserve">1. Open "Place Order".
2. Enter a &lt;script&gt; payload as the Name.
3. Complete the purchase.</t>
  </si>
  <si>
    <t>No script executes; the confirmation displays the payload as literal text, not markup.</t>
  </si>
  <si>
    <t>tests/ui/cart.spec.ts — TC-CART-24</t>
  </si>
  <si>
    <t>TC-CART-25</t>
  </si>
  <si>
    <t>REQ-CART-RESILIENCE</t>
  </si>
  <si>
    <t>A very long checkout Name is handled without crashing</t>
  </si>
  <si>
    <t>name: 'a'.repeat(500)</t>
  </si>
  <si>
    <t xml:space="preserve">1. Open "Place Order".
2. Enter a 500-character Name.
3. Submit.</t>
  </si>
  <si>
    <t>The purchase completes (or is rejected) without crashing the page.</t>
  </si>
  <si>
    <t>tests/ui/cart.spec.ts — TC-CART-25</t>
  </si>
  <si>
    <t>A whitespace-only Card value bypasses required-field validation</t>
  </si>
  <si>
    <t>card: "   " (three spaces)</t>
  </si>
  <si>
    <t xml:space="preserve">1. Open "Place Order".
2. Fill Name; fill Card with only whitespace.
3. Click "Purchase".</t>
  </si>
  <si>
    <t>A trimming validator would treat this the same as an empty Card and raise the TC-CART-05 alert.</t>
  </si>
  <si>
    <t>tests/ui/cart.spec.ts — TC-CART-26</t>
  </si>
  <si>
    <t>TC-CART-27</t>
  </si>
  <si>
    <t>The cart total correctly sums three items across three different categories</t>
  </si>
  <si>
    <t>products: Samsung galaxy s6 (phone) + Sony vaio i5 (notebook) + Apple monitor 24 (monitor)</t>
  </si>
  <si>
    <t xml:space="preserve">1. Clear the cart.
2. Add one product from each of the phone, notebook, and monitor categories.
3. Read the displayed total.</t>
  </si>
  <si>
    <t>The total equals the exact sum of all three prices — deeper coverage than TC-CART-07’s two-item case, proving the sum isn’t coincidental.</t>
  </si>
  <si>
    <t>Cart contains three items.</t>
  </si>
  <si>
    <t>tests/ui/cart.spec.ts — TC-CART-27</t>
  </si>
  <si>
    <t>Description</t>
  </si>
  <si>
    <t>Covered By</t>
  </si>
  <si>
    <t>Coverage</t>
  </si>
  <si>
    <t>Users can authenticate with valid credentials and the session persists across navigation and reload.</t>
  </si>
  <si>
    <t>TC-LOGIN-01, TC-LOGIN-03, TC-LOGIN-17</t>
  </si>
  <si>
    <t>Users can log out and the app returns to a logged-out state.</t>
  </si>
  <si>
    <t>The login form enforces required fields client-side before any network call.</t>
  </si>
  <si>
    <t>TC-LOGIN-06, TC-LOGIN-07, TC-LOGIN-11</t>
  </si>
  <si>
    <t>Invalid credentials (unknown user, wrong password, wrong case, untrimmed whitespace) are rejected with an accurate message.</t>
  </si>
  <si>
    <t>TC-LOGIN-04, TC-LOGIN-05, TC-LOGIN-10, TC-LOGIN-12</t>
  </si>
  <si>
    <t>The login flow resists injection/XSS payloads and forged session tokens, and does not leak more than necessary via enumeration or brute force.</t>
  </si>
  <si>
    <t>TC-LOGIN-08, TC-LOGIN-14, TC-LOGIN-18, TC-LOGIN-19, TC-LOGIN-21, TC-LOGIN-22</t>
  </si>
  <si>
    <t>The login flow tolerates oversized/unicode input and upstream API failure without crashing.</t>
  </si>
  <si>
    <t>TC-LOGIN-09, TC-LOGIN-16, TC-LOGIN-20, TC-LOGIN-23</t>
  </si>
  <si>
    <t>Non-authentication login-modal affordances (cancel, password masking) behave as expected.</t>
  </si>
  <si>
    <t>TC-LOGIN-13, TC-LOGIN-15</t>
  </si>
  <si>
    <t>Products can be added to the cart from the product page, including repeat adds.</t>
  </si>
  <si>
    <t>TC-CART-01, TC-CART-03</t>
  </si>
  <si>
    <t>The cart accurately lists its contents and computes a correct total, including multi-item sums.</t>
  </si>
  <si>
    <t>TC-CART-07, TC-CART-13, TC-CART-27</t>
  </si>
  <si>
    <t>Individual items can be removed from the cart, correctly updating rows and total.</t>
  </si>
  <si>
    <t>TC-CART-04, TC-CART-11</t>
  </si>
  <si>
    <t>Cart contents are correctly scoped and isolated per guest/account identity, and persist appropriately across login/logout.</t>
  </si>
  <si>
    <t>TC-CART-08, TC-CART-12, TC-CART-22, TC-CART-23</t>
  </si>
  <si>
    <t>The checkout form enforces its required fields, and gaps in that validation (format/expiry/whitespace) are documented rather than assumed.</t>
  </si>
  <si>
    <t>TC-CART-05, TC-CART-06, TC-CART-09, TC-CART-10, TC-CART-14, TC-CART-15, TC-CART-16, TC-CART-26</t>
  </si>
  <si>
    <t>A valid order can be submitted, cancelled, or double-submitted safely, and clears the cart on success.</t>
  </si>
  <si>
    <t>TC-CART-02, TC-CART-17, TC-CART-18, TC-CART-19</t>
  </si>
  <si>
    <t>Checkout resists XSS payloads and price tampering, and does not unnecessarily expose sensitive card data.</t>
  </si>
  <si>
    <t>TC-CART-20, TC-CART-21, TC-CART-24</t>
  </si>
  <si>
    <t>Checkout tolerates oversized input without crashing.</t>
  </si>
  <si>
    <t>API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</si>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</sst>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F3864"/>
      <sz val="18"/>
    </font>
    <font>
      <i/>
      <color rgb="FF666666"/>
    </font>
    <font>
      <b/>
      <color rgb="FF1F3864"/>
      <sz val="12"/>
    </font>
    <font>
      <b/>
      <color rgb="FF1F3864"/>
      <sz val="16"/>
    </font>
    <font>
      <b/>
      <color rgb="FFFFFFFF"/>
    </font>
    <font>
      <b/>
    </font>
    <font>
      <b/>
      <color rgb="FFCC0000"/>
    </font>
    <font>
      <b/>
      <color rgb="FFE06666"/>
    </font>
    <font>
      <b/>
      <color rgb="FFF6B26B"/>
    </font>
    <font>
      <b/>
      <color rgb="FF93C47D"/>
    </font>
    <font>
      <b/>
      <color rgb="FF990000"/>
    </font>
    <font>
      <u/>
      <color rgb="FF1155CC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9D2E9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left" vertical="center" wrapText="1"/>
    </xf>
    <xf numFmtId="0" fontId="0" fillId="0" borderId="1" xfId="0" applyBorder="1"/>
    <xf numFmtId="9" fontId="0" fillId="0" borderId="1" xfId="0" applyNumberFormat="1" applyBorder="1"/>
    <xf numFmtId="0" fontId="6" fillId="0" borderId="0" xfId="0" applyFont="1"/>
    <xf numFmtId="0" fontId="6" fillId="0" borderId="1" xfId="0" applyFont="1" applyBorder="1"/>
    <xf numFmtId="9" fontId="6" fillId="0" borderId="1" xfId="0" applyNumberFormat="1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Login Cases&apos;!A1" TargetMode="External"/><Relationship Id="rId2" Type="http://schemas.openxmlformats.org/officeDocument/2006/relationships/hyperlink" Target="#&apos;Login Cases&apos;!A1" TargetMode="External"/><Relationship Id="rId3" Type="http://schemas.openxmlformats.org/officeDocument/2006/relationships/hyperlink" Target="#&apos;Cart &amp; Checkout Cases&apos;!A1" TargetMode="External"/><Relationship Id="rId4" Type="http://schemas.openxmlformats.org/officeDocument/2006/relationships/hyperlink" Target="#&apos;Cart &amp; Checkout Cases&apos;!A1" TargetMode="External"/><Relationship Id="rId5" Type="http://schemas.openxmlformats.org/officeDocument/2006/relationships/hyperlink" Target="#&apos;Cart &amp; Checkout Cases&apos;!A1" TargetMode="External"/><Relationship Id="rId6" Type="http://schemas.openxmlformats.org/officeDocument/2006/relationships/hyperlink" Target="#&apos;Cart &amp; Checkout Cases&apos;!A1" TargetMode="External"/><Relationship Id="rId7" Type="http://schemas.openxmlformats.org/officeDocument/2006/relationships/hyperlink" Target="#&apos;Cart &amp; Checkout Cases&apos;!A1" TargetMode="External"/><Relationship Id="rId8" Type="http://schemas.openxmlformats.org/officeDocument/2006/relationships/hyperlink" Target="#&apos;Cart &amp; Checkout Cases&apos;!A1" TargetMode="External"/><Relationship Id="rId9" Type="http://schemas.openxmlformats.org/officeDocument/2006/relationships/hyperlink" Target="#&apos;Cart &amp; Checkout Case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../tests/ui/login.spec.ts" TargetMode="External"/><Relationship Id="rId2" Type="http://schemas.openxmlformats.org/officeDocument/2006/relationships/hyperlink" Target="../tests/ui/login.spec.ts" TargetMode="External"/><Relationship Id="rId3" Type="http://schemas.openxmlformats.org/officeDocument/2006/relationships/hyperlink" Target="../tests/ui/login.spec.ts" TargetMode="External"/><Relationship Id="rId4" Type="http://schemas.openxmlformats.org/officeDocument/2006/relationships/hyperlink" Target="../tests/ui/login.spec.ts" TargetMode="External"/><Relationship Id="rId5" Type="http://schemas.openxmlformats.org/officeDocument/2006/relationships/hyperlink" Target="../tests/ui/login.spec.ts" TargetMode="External"/><Relationship Id="rId6" Type="http://schemas.openxmlformats.org/officeDocument/2006/relationships/hyperlink" Target="../tests/ui/login.spec.ts" TargetMode="External"/><Relationship Id="rId7" Type="http://schemas.openxmlformats.org/officeDocument/2006/relationships/hyperlink" Target="../tests/ui/login.spec.ts" TargetMode="External"/><Relationship Id="rId8" Type="http://schemas.openxmlformats.org/officeDocument/2006/relationships/hyperlink" Target="../tests/ui/login.spec.ts" TargetMode="External"/><Relationship Id="rId9" Type="http://schemas.openxmlformats.org/officeDocument/2006/relationships/hyperlink" Target="../tests/ui/login.spec.ts" TargetMode="External"/><Relationship Id="rId10" Type="http://schemas.openxmlformats.org/officeDocument/2006/relationships/hyperlink" Target="../tests/ui/login.spec.ts" TargetMode="External"/><Relationship Id="rId11" Type="http://schemas.openxmlformats.org/officeDocument/2006/relationships/hyperlink" Target="../tests/ui/login.spec.ts" TargetMode="External"/><Relationship Id="rId12" Type="http://schemas.openxmlformats.org/officeDocument/2006/relationships/hyperlink" Target="../tests/ui/login.spec.ts" TargetMode="External"/><Relationship Id="rId13" Type="http://schemas.openxmlformats.org/officeDocument/2006/relationships/hyperlink" Target="../tests/ui/login.spec.ts" TargetMode="External"/><Relationship Id="rId14" Type="http://schemas.openxmlformats.org/officeDocument/2006/relationships/hyperlink" Target="../tests/ui/login.spec.ts" TargetMode="External"/><Relationship Id="rId15" Type="http://schemas.openxmlformats.org/officeDocument/2006/relationships/hyperlink" Target="../tests/ui/login.spec.ts" TargetMode="External"/><Relationship Id="rId16" Type="http://schemas.openxmlformats.org/officeDocument/2006/relationships/hyperlink" Target="../tests/ui/login.spec.t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../tests/ui/cart.spec.ts" TargetMode="External"/><Relationship Id="rId2" Type="http://schemas.openxmlformats.org/officeDocument/2006/relationships/hyperlink" Target="../tests/ui/cart.spec.ts" TargetMode="External"/><Relationship Id="rId3" Type="http://schemas.openxmlformats.org/officeDocument/2006/relationships/hyperlink" Target="../tests/ui/cart.spec.ts" TargetMode="External"/><Relationship Id="rId4" Type="http://schemas.openxmlformats.org/officeDocument/2006/relationships/hyperlink" Target="../tests/ui/cart.spec.ts" TargetMode="External"/><Relationship Id="rId5" Type="http://schemas.openxmlformats.org/officeDocument/2006/relationships/hyperlink" Target="../tests/ui/cart.spec.ts" TargetMode="External"/><Relationship Id="rId6" Type="http://schemas.openxmlformats.org/officeDocument/2006/relationships/hyperlink" Target="../tests/ui/cart.spec.ts" TargetMode="External"/><Relationship Id="rId7" Type="http://schemas.openxmlformats.org/officeDocument/2006/relationships/hyperlink" Target="../tests/ui/cart.spec.ts" TargetMode="External"/><Relationship Id="rId8" Type="http://schemas.openxmlformats.org/officeDocument/2006/relationships/hyperlink" Target="../tests/ui/cart.spec.ts" TargetMode="External"/><Relationship Id="rId9" Type="http://schemas.openxmlformats.org/officeDocument/2006/relationships/hyperlink" Target="../tests/ui/cart.spec.ts" TargetMode="External"/><Relationship Id="rId10" Type="http://schemas.openxmlformats.org/officeDocument/2006/relationships/hyperlink" Target="../tests/ui/cart.spec.ts" TargetMode="External"/><Relationship Id="rId11" Type="http://schemas.openxmlformats.org/officeDocument/2006/relationships/hyperlink" Target="../tests/ui/cart.spec.ts" TargetMode="External"/><Relationship Id="rId12" Type="http://schemas.openxmlformats.org/officeDocument/2006/relationships/hyperlink" Target="../tests/ui/cart.spec.ts" TargetMode="External"/><Relationship Id="rId13" Type="http://schemas.openxmlformats.org/officeDocument/2006/relationships/hyperlink" Target="../tests/ui/cart.spec.ts" TargetMode="External"/><Relationship Id="rId14" Type="http://schemas.openxmlformats.org/officeDocument/2006/relationships/hyperlink" Target="../tests/ui/cart.spec.ts" TargetMode="External"/><Relationship Id="rId15" Type="http://schemas.openxmlformats.org/officeDocument/2006/relationships/hyperlink" Target="../tests/ui/cart.spec.ts" TargetMode="External"/><Relationship Id="rId16" Type="http://schemas.openxmlformats.org/officeDocument/2006/relationships/hyperlink" Target="../tests/ui/cart.spec.ts" TargetMode="External"/><Relationship Id="rId17" Type="http://schemas.openxmlformats.org/officeDocument/2006/relationships/hyperlink" Target="../tests/ui/cart.spec.ts" TargetMode="External"/><Relationship Id="rId18" Type="http://schemas.openxmlformats.org/officeDocument/2006/relationships/hyperlink" Target="../tests/ui/cart.spec.ts" TargetMode="External"/><Relationship Id="rId19" Type="http://schemas.openxmlformats.org/officeDocument/2006/relationships/hyperlink" Target="../tests/ui/cart.spec.ts" TargetMode="External"/><Relationship Id="rId20" Type="http://schemas.openxmlformats.org/officeDocument/2006/relationships/hyperlink" Target="../tests/ui/cart.spec.ts" TargetMode="External"/><Relationship Id="rId21" Type="http://schemas.openxmlformats.org/officeDocument/2006/relationships/hyperlink" Target="../tests/ui/cart.spec.ts" TargetMode="External"/><Relationship Id="rId22" Type="http://schemas.openxmlformats.org/officeDocument/2006/relationships/hyperlink" Target="../tests/ui/cart.spec.ts" TargetMode="External"/><Relationship Id="rId23" Type="http://schemas.openxmlformats.org/officeDocument/2006/relationships/hyperlink" Target="../tests/ui/cart.spec.ts" TargetMode="External"/><Relationship Id="rId24" Type="http://schemas.openxmlformats.org/officeDocument/2006/relationships/hyperlink" Target="../tests/ui/cart.spec.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ht="20" customHeight="1" spans="1:1" x14ac:dyDescent="0.25">
      <c r="A4" s="3" t="s">
        <v>2</v>
      </c>
    </row>
    <row r="5" ht="36" customHeight="1" spans="1:1" s="4" customFormat="1" x14ac:dyDescent="0.25">
      <c r="A5" s="4" t="s">
        <v>3</v>
      </c>
    </row>
    <row r="6" ht="36" customHeight="1" spans="1:1" s="4" customFormat="1" x14ac:dyDescent="0.25">
      <c r="A6" s="4" t="s">
        <v>4</v>
      </c>
    </row>
    <row r="7" ht="36" customHeight="1" spans="1:1" s="4" customFormat="1" x14ac:dyDescent="0.25">
      <c r="A7" s="4" t="s">
        <v>5</v>
      </c>
    </row>
    <row r="8" ht="36" customHeight="1" spans="1:1" s="4" customFormat="1" x14ac:dyDescent="0.25">
      <c r="A8" s="4" t="s">
        <v>6</v>
      </c>
    </row>
    <row r="9" ht="36" customHeight="1" spans="1:1" s="4" customFormat="1" x14ac:dyDescent="0.25">
      <c r="A9" s="4" t="s">
        <v>7</v>
      </c>
    </row>
    <row r="11" ht="20" customHeight="1" spans="1:1" x14ac:dyDescent="0.25">
      <c r="A11" s="3" t="s">
        <v>8</v>
      </c>
    </row>
    <row r="12" ht="36" customHeight="1" spans="1:1" s="4" customFormat="1" x14ac:dyDescent="0.25">
      <c r="A12" s="4" t="s">
        <v>9</v>
      </c>
    </row>
    <row r="13" ht="51" customHeight="1" spans="1:1" s="4" customFormat="1" x14ac:dyDescent="0.25">
      <c r="A13" s="4" t="s">
        <v>10</v>
      </c>
    </row>
    <row r="14" ht="51" customHeight="1" spans="1:1" s="4" customFormat="1" x14ac:dyDescent="0.25">
      <c r="A14" s="4" t="s">
        <v>11</v>
      </c>
    </row>
    <row r="15" ht="36" customHeight="1" spans="1:1" s="4" customFormat="1" x14ac:dyDescent="0.25">
      <c r="A15" s="4" t="s">
        <v>12</v>
      </c>
    </row>
    <row r="17" ht="20" customHeight="1" spans="1:1" x14ac:dyDescent="0.25">
      <c r="A17" s="3" t="s">
        <v>13</v>
      </c>
    </row>
    <row r="18" ht="51" customHeight="1" spans="1:1" s="4" customFormat="1" x14ac:dyDescent="0.25">
      <c r="A18" s="4" t="s">
        <v>14</v>
      </c>
    </row>
    <row r="19" ht="66" customHeight="1" spans="1:1" s="4" customFormat="1" x14ac:dyDescent="0.25">
      <c r="A19" s="4" t="s">
        <v>15</v>
      </c>
    </row>
    <row r="20" ht="66" customHeight="1" spans="1:1" s="4" customFormat="1" x14ac:dyDescent="0.25">
      <c r="A20" s="4" t="s">
        <v>16</v>
      </c>
    </row>
    <row r="21" ht="51" customHeight="1" spans="1:1" s="4" customFormat="1" x14ac:dyDescent="0.25">
      <c r="A21" s="4" t="s">
        <v>17</v>
      </c>
    </row>
    <row r="22" ht="36" customHeight="1" spans="1:1" s="4" customFormat="1" x14ac:dyDescent="0.25">
      <c r="A22" s="4" t="s">
        <v>18</v>
      </c>
    </row>
    <row r="23" ht="36" customHeight="1" spans="1:1" s="4" customFormat="1" x14ac:dyDescent="0.25">
      <c r="A23" s="4" t="s">
        <v>19</v>
      </c>
    </row>
    <row r="24" ht="36" customHeight="1" spans="1:1" s="4" customFormat="1" x14ac:dyDescent="0.25">
      <c r="A24" s="4" t="s">
        <v>20</v>
      </c>
    </row>
    <row r="25" ht="36" customHeight="1" spans="1:1" s="4" customFormat="1" x14ac:dyDescent="0.25">
      <c r="A25" s="4" t="s">
        <v>21</v>
      </c>
    </row>
    <row r="27" ht="20" customHeight="1" spans="1:1" x14ac:dyDescent="0.25">
      <c r="A27" s="3" t="s">
        <v>22</v>
      </c>
    </row>
    <row r="28" ht="66" customHeight="1" spans="1:1" s="4" customFormat="1" x14ac:dyDescent="0.25">
      <c r="A28" s="4" t="s">
        <v>23</v>
      </c>
    </row>
    <row r="29" ht="36" customHeight="1" spans="1:1" s="4" customFormat="1" x14ac:dyDescent="0.25">
      <c r="A29" s="4" t="s">
        <v>24</v>
      </c>
    </row>
    <row r="30" ht="21" customHeight="1" spans="1:1" s="4" customFormat="1" x14ac:dyDescent="0.25">
      <c r="A30" s="4" t="s">
        <v>25</v>
      </c>
    </row>
    <row r="32" ht="20" customHeight="1" spans="1:1" x14ac:dyDescent="0.25">
      <c r="A32" s="3" t="s">
        <v>26</v>
      </c>
    </row>
    <row r="33" ht="51" customHeight="1" spans="1:1" s="4" customFormat="1" x14ac:dyDescent="0.25">
      <c r="A33" s="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4" customWidth="1"/>
    <col min="5" max="5" width="16" customWidth="1"/>
    <col min="6" max="7" width="14" customWidth="1"/>
  </cols>
  <sheetData>
    <row r="1" spans="1:7" x14ac:dyDescent="0.25">
      <c r="A1" s="5" t="s">
        <v>28</v>
      </c>
      <c r="B1" s="5"/>
      <c r="C1" s="5"/>
      <c r="D1" s="5"/>
      <c r="E1" s="5"/>
      <c r="F1" s="5"/>
      <c r="G1" s="5"/>
    </row>
    <row r="2" spans="1:1" x14ac:dyDescent="0.25">
      <c r="A2" s="2" t="s">
        <v>29</v>
      </c>
    </row>
    <row r="4" ht="20" customHeight="1" spans="1:7" x14ac:dyDescent="0.25">
      <c r="A4" s="3" t="s">
        <v>30</v>
      </c>
      <c r="B4" s="3"/>
      <c r="C4" s="3"/>
      <c r="D4" s="3"/>
      <c r="E4" s="3"/>
      <c r="F4" s="3"/>
      <c r="G4" s="3"/>
    </row>
    <row r="5" ht="22" customHeight="1" spans="1:7" x14ac:dyDescent="0.25">
      <c r="A5" s="6" t="s">
        <v>31</v>
      </c>
      <c r="B5" s="6" t="s">
        <v>32</v>
      </c>
      <c r="C5" s="6" t="s">
        <v>33</v>
      </c>
      <c r="D5" s="6" t="s">
        <v>34</v>
      </c>
      <c r="E5" s="6" t="s">
        <v>35</v>
      </c>
      <c r="F5" s="6" t="s">
        <v>36</v>
      </c>
      <c r="G5" s="6" t="s">
        <v>37</v>
      </c>
    </row>
    <row r="6" spans="1:7" x14ac:dyDescent="0.25">
      <c r="A6" s="7" t="s">
        <v>38</v>
      </c>
      <c r="B6" s="7">
        <f>COUNTA('Login Cases'!A2:A24)</f>
      </c>
      <c r="C6" s="7">
        <f>COUNTIF('Login Cases'!L2:L24,"Automated")</f>
      </c>
      <c r="D6" s="7">
        <f>COUNTA('Login Cases'!A2:A24)-COUNTIF('Login Cases'!L2:L24,"Automated")</f>
      </c>
      <c r="E6" s="7">
        <f>COUNTIF('Login Cases'!R2:R24,"Documented Finding")</f>
      </c>
      <c r="F6" s="7">
        <f>COUNTIF('Login Cases'!R2:R24,"Pass")</f>
      </c>
      <c r="G6" s="8">
        <f>IF(COUNTA('Login Cases'!A2:A24)=0,0,COUNTIF('Login Cases'!L2:L24,"Automated")/COUNTA('Login Cases'!A2:A24))</f>
      </c>
    </row>
    <row r="7" spans="1:7" x14ac:dyDescent="0.25">
      <c r="A7" s="7" t="s">
        <v>39</v>
      </c>
      <c r="B7" s="7">
        <f>COUNTA('Cart &amp; Checkout Cases'!A2:A28)</f>
      </c>
      <c r="C7" s="7">
        <f>COUNTIF('Cart &amp; Checkout Cases'!L2:L28,"Automated")</f>
      </c>
      <c r="D7" s="7">
        <f>COUNTA('Cart &amp; Checkout Cases'!A2:A28)-COUNTIF('Cart &amp; Checkout Cases'!L2:L28,"Automated")</f>
      </c>
      <c r="E7" s="7">
        <f>COUNTIF('Cart &amp; Checkout Cases'!R2:R28,"Documented Finding")</f>
      </c>
      <c r="F7" s="7">
        <f>COUNTIF('Cart &amp; Checkout Cases'!R2:R28,"Pass")</f>
      </c>
      <c r="G7" s="8">
        <f>IF(COUNTA('Cart &amp; Checkout Cases'!A2:A28)=0,0,COUNTIF('Cart &amp; Checkout Cases'!L2:L28,"Automated")/COUNTA('Cart &amp; Checkout Cases'!A2:A28))</f>
      </c>
    </row>
    <row r="8" spans="1:7" s="9" customFormat="1" x14ac:dyDescent="0.25">
      <c r="A8" s="10" t="s">
        <v>40</v>
      </c>
      <c r="B8" s="10">
        <f>B6+B7</f>
      </c>
      <c r="C8" s="10">
        <f>C6+C7</f>
      </c>
      <c r="D8" s="10">
        <f>D6+D7</f>
      </c>
      <c r="E8" s="10">
        <f>E6+E7</f>
      </c>
      <c r="F8" s="10">
        <f>F6+F7</f>
      </c>
      <c r="G8" s="11">
        <f>IF(B6+B7=0,0,(C6+C7)/(B6+B7))</f>
      </c>
    </row>
    <row r="10" ht="20" customHeight="1" spans="1:7" x14ac:dyDescent="0.25">
      <c r="A10" s="3" t="s">
        <v>41</v>
      </c>
      <c r="B10" s="3"/>
      <c r="C10" s="3"/>
      <c r="D10" s="3"/>
      <c r="E10" s="3"/>
      <c r="F10" s="3"/>
      <c r="G10" s="3"/>
    </row>
    <row r="11" ht="22" customHeight="1" spans="1:2" x14ac:dyDescent="0.25">
      <c r="A11" s="6" t="s">
        <v>42</v>
      </c>
      <c r="B11" s="6" t="s">
        <v>43</v>
      </c>
    </row>
    <row r="12" spans="1:2" x14ac:dyDescent="0.25">
      <c r="A12" s="12" t="s">
        <v>44</v>
      </c>
      <c r="B12" s="7">
        <f>COUNTIF('Login Cases'!E2:E24,"Functional")+COUNTIF('Cart &amp; Checkout Cases'!E2:E28,"Functional")</f>
      </c>
    </row>
    <row r="13" spans="1:2" x14ac:dyDescent="0.25">
      <c r="A13" s="13" t="s">
        <v>45</v>
      </c>
      <c r="B13" s="7">
        <f>COUNTIF('Login Cases'!E2:E24,"Negative")+COUNTIF('Cart &amp; Checkout Cases'!E2:E28,"Negative")</f>
      </c>
    </row>
    <row r="14" spans="1:2" x14ac:dyDescent="0.25">
      <c r="A14" s="14" t="s">
        <v>46</v>
      </c>
      <c r="B14" s="7">
        <f>COUNTIF('Login Cases'!E2:E24,"Edge")+COUNTIF('Cart &amp; Checkout Cases'!E2:E28,"Edge")</f>
      </c>
    </row>
    <row r="15" spans="1:2" x14ac:dyDescent="0.25">
      <c r="A15" s="15" t="s">
        <v>47</v>
      </c>
      <c r="B15" s="7">
        <f>COUNTIF('Login Cases'!E2:E24,"Security")+COUNTIF('Cart &amp; Checkout Cases'!E2:E28,"Security")</f>
      </c>
    </row>
    <row r="17" ht="20" customHeight="1" spans="1:7" x14ac:dyDescent="0.25">
      <c r="A17" s="3" t="s">
        <v>48</v>
      </c>
      <c r="B17" s="3"/>
      <c r="C17" s="3"/>
      <c r="D17" s="3"/>
      <c r="E17" s="3"/>
      <c r="F17" s="3"/>
      <c r="G17" s="3"/>
    </row>
    <row r="18" ht="22" customHeight="1" spans="1:2" x14ac:dyDescent="0.25">
      <c r="A18" s="6" t="s">
        <v>49</v>
      </c>
      <c r="B18" s="6" t="s">
        <v>43</v>
      </c>
    </row>
    <row r="19" spans="1:2" x14ac:dyDescent="0.25">
      <c r="A19" s="16" t="s">
        <v>50</v>
      </c>
      <c r="B19" s="7">
        <f>COUNTIF('Login Cases'!F2:F24,"Critical")+COUNTIF('Cart &amp; Checkout Cases'!F2:F28,"Critical")</f>
      </c>
    </row>
    <row r="20" spans="1:2" x14ac:dyDescent="0.25">
      <c r="A20" s="17" t="s">
        <v>51</v>
      </c>
      <c r="B20" s="7">
        <f>COUNTIF('Login Cases'!F2:F24,"High")+COUNTIF('Cart &amp; Checkout Cases'!F2:F28,"High")</f>
      </c>
    </row>
    <row r="21" spans="1:2" x14ac:dyDescent="0.25">
      <c r="A21" s="18" t="s">
        <v>52</v>
      </c>
      <c r="B21" s="7">
        <f>COUNTIF('Login Cases'!F2:F24,"Medium")+COUNTIF('Cart &amp; Checkout Cases'!F2:F28,"Medium")</f>
      </c>
    </row>
    <row r="22" spans="1:2" x14ac:dyDescent="0.25">
      <c r="A22" s="19" t="s">
        <v>53</v>
      </c>
      <c r="B22" s="7">
        <f>COUNTIF('Login Cases'!F2:F24,"Low")+COUNTIF('Cart &amp; Checkout Cases'!F2:F28,"Low")</f>
      </c>
    </row>
    <row r="24" ht="20" customHeight="1" spans="1:7" x14ac:dyDescent="0.25">
      <c r="A24" s="3" t="s">
        <v>54</v>
      </c>
      <c r="B24" s="3"/>
      <c r="C24" s="3"/>
      <c r="D24" s="3"/>
      <c r="E24" s="3"/>
      <c r="F24" s="3"/>
      <c r="G24" s="3"/>
    </row>
    <row r="25" ht="22" customHeight="1" spans="1:3" x14ac:dyDescent="0.25">
      <c r="A25" s="6" t="s">
        <v>55</v>
      </c>
      <c r="B25" s="6" t="s">
        <v>56</v>
      </c>
      <c r="C25" s="6" t="s">
        <v>57</v>
      </c>
    </row>
    <row r="26" spans="1:3" s="4" customFormat="1" x14ac:dyDescent="0.25">
      <c r="A26" s="20" t="s">
        <v>58</v>
      </c>
      <c r="B26" s="21" t="s">
        <v>59</v>
      </c>
      <c r="C26" s="22" t="s">
        <v>60</v>
      </c>
    </row>
    <row r="27" spans="1:3" s="4" customFormat="1" x14ac:dyDescent="0.25">
      <c r="A27" s="20" t="s">
        <v>61</v>
      </c>
      <c r="B27" s="21" t="s">
        <v>62</v>
      </c>
      <c r="C27" s="22" t="s">
        <v>63</v>
      </c>
    </row>
    <row r="28" spans="1:3" s="4" customFormat="1" x14ac:dyDescent="0.25">
      <c r="A28" s="20" t="s">
        <v>64</v>
      </c>
      <c r="B28" s="21" t="s">
        <v>65</v>
      </c>
      <c r="C28" s="22" t="s">
        <v>66</v>
      </c>
    </row>
    <row r="29" spans="1:3" s="4" customFormat="1" x14ac:dyDescent="0.25">
      <c r="A29" s="20" t="s">
        <v>67</v>
      </c>
      <c r="B29" s="21" t="s">
        <v>68</v>
      </c>
      <c r="C29" s="22" t="s">
        <v>69</v>
      </c>
    </row>
    <row r="30" spans="1:3" s="4" customFormat="1" x14ac:dyDescent="0.25">
      <c r="A30" s="20" t="s">
        <v>70</v>
      </c>
      <c r="B30" s="21" t="s">
        <v>71</v>
      </c>
      <c r="C30" s="22" t="s">
        <v>72</v>
      </c>
    </row>
    <row r="31" spans="1:3" s="4" customFormat="1" x14ac:dyDescent="0.25">
      <c r="A31" s="20" t="s">
        <v>73</v>
      </c>
      <c r="B31" s="21" t="s">
        <v>74</v>
      </c>
      <c r="C31" s="22" t="s">
        <v>75</v>
      </c>
    </row>
    <row r="32" spans="1:3" s="4" customFormat="1" x14ac:dyDescent="0.25">
      <c r="A32" s="20" t="s">
        <v>76</v>
      </c>
      <c r="B32" s="21" t="s">
        <v>77</v>
      </c>
      <c r="C32" s="22" t="s">
        <v>78</v>
      </c>
    </row>
    <row r="33" spans="1:3" s="4" customFormat="1" x14ac:dyDescent="0.25">
      <c r="A33" s="20" t="s">
        <v>79</v>
      </c>
      <c r="B33" s="21" t="s">
        <v>80</v>
      </c>
      <c r="C33" s="22" t="s">
        <v>81</v>
      </c>
    </row>
    <row r="34" spans="1:3" s="4" customFormat="1" x14ac:dyDescent="0.25">
      <c r="A34" s="20" t="s">
        <v>82</v>
      </c>
      <c r="B34" s="21" t="s">
        <v>83</v>
      </c>
      <c r="C34" s="22" t="s">
        <v>84</v>
      </c>
    </row>
  </sheetData>
  <mergeCells count="5">
    <mergeCell ref="A1:G1"/>
    <mergeCell ref="A4:G4"/>
    <mergeCell ref="A10:G10"/>
    <mergeCell ref="A17:G17"/>
    <mergeCell ref="A24:G24"/>
  </mergeCells>
  <hyperlinks>
    <hyperlink ref="B26" r:id="rId1" location="#'Login Cases'!A1"/>
    <hyperlink ref="B27" r:id="rId2" location="#'Login Cases'!A1"/>
    <hyperlink ref="B28" r:id="rId3" location="#'Cart &amp; Checkout Cases'!A1"/>
    <hyperlink ref="B29" r:id="rId4" location="#'Cart &amp; Checkout Cases'!A1"/>
    <hyperlink ref="B30" r:id="rId5" location="#'Cart &amp; Checkout Cases'!A1"/>
    <hyperlink ref="B31" r:id="rId6" location="#'Cart &amp; Checkout Cases'!A1"/>
    <hyperlink ref="B32" r:id="rId7" location="#'Cart &amp; Checkout Cases'!A1"/>
    <hyperlink ref="B33" r:id="rId8" location="#'Cart &amp; Checkout Cases'!A1"/>
    <hyperlink ref="B34" r:id="rId9" location="#'Cart &amp; Checkout Cas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5" customWidth="1"/>
    <col min="4" max="4" width="38" customWidth="1"/>
    <col min="5" max="5" width="11" customWidth="1"/>
    <col min="6" max="6" width="10" customWidth="1"/>
    <col min="7" max="7" width="26" customWidth="1"/>
    <col min="8" max="8" width="28" customWidth="1"/>
    <col min="9" max="10" width="42" customWidth="1"/>
    <col min="11" max="11" width="26" customWidth="1"/>
    <col min="12" max="12" width="16" customWidth="1"/>
    <col min="13" max="13" width="10" customWidth="1"/>
    <col min="14" max="14" width="22" customWidth="1"/>
    <col min="15" max="15" width="26" customWidth="1"/>
    <col min="16" max="16" width="42" customWidth="1"/>
    <col min="17" max="17" width="36" customWidth="1"/>
    <col min="18" max="18" width="16" customWidth="1"/>
    <col min="19" max="19" width="12" customWidth="1"/>
    <col min="20" max="20" width="22" customWidth="1"/>
    <col min="21" max="21" width="14" customWidth="1"/>
  </cols>
  <sheetData>
    <row r="1" ht="22" customHeight="1" spans="1:21" x14ac:dyDescent="0.25">
      <c r="A1" s="6" t="s">
        <v>85</v>
      </c>
      <c r="B1" s="6" t="s">
        <v>86</v>
      </c>
      <c r="C1" s="6" t="s">
        <v>31</v>
      </c>
      <c r="D1" s="6" t="s">
        <v>87</v>
      </c>
      <c r="E1" s="6" t="s">
        <v>42</v>
      </c>
      <c r="F1" s="6" t="s">
        <v>49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  <c r="L1" s="6" t="s">
        <v>93</v>
      </c>
      <c r="M1" s="6" t="s">
        <v>94</v>
      </c>
      <c r="N1" s="6" t="s">
        <v>95</v>
      </c>
      <c r="O1" s="6" t="s">
        <v>96</v>
      </c>
      <c r="P1" s="6" t="s">
        <v>97</v>
      </c>
      <c r="Q1" s="6" t="s">
        <v>98</v>
      </c>
      <c r="R1" s="6" t="s">
        <v>99</v>
      </c>
      <c r="S1" s="6" t="s">
        <v>55</v>
      </c>
      <c r="T1" s="6" t="s">
        <v>100</v>
      </c>
      <c r="U1" s="6" t="s">
        <v>101</v>
      </c>
    </row>
    <row r="2" ht="66" customHeight="1" spans="1:21" x14ac:dyDescent="0.25">
      <c r="A2" s="22" t="s">
        <v>102</v>
      </c>
      <c r="B2" s="22" t="s">
        <v>103</v>
      </c>
      <c r="C2" s="22" t="s">
        <v>38</v>
      </c>
      <c r="D2" s="22" t="s">
        <v>104</v>
      </c>
      <c r="E2" s="23" t="s">
        <v>44</v>
      </c>
      <c r="F2" s="24" t="s">
        <v>50</v>
      </c>
      <c r="G2" s="22" t="s">
        <v>105</v>
      </c>
      <c r="H2" s="22" t="s">
        <v>106</v>
      </c>
      <c r="I2" s="22" t="s">
        <v>107</v>
      </c>
      <c r="J2" s="22" t="s">
        <v>108</v>
      </c>
      <c r="K2" s="22" t="s">
        <v>109</v>
      </c>
      <c r="L2" s="23" t="s">
        <v>33</v>
      </c>
      <c r="M2" s="22" t="s">
        <v>110</v>
      </c>
      <c r="N2" s="22" t="s">
        <v>111</v>
      </c>
      <c r="O2" s="22" t="s">
        <v>112</v>
      </c>
      <c r="P2" s="21" t="s">
        <v>113</v>
      </c>
      <c r="Q2" s="22" t="s">
        <v>114</v>
      </c>
      <c r="R2" s="23" t="s">
        <v>36</v>
      </c>
      <c r="S2" s="22" t="s">
        <v>114</v>
      </c>
      <c r="T2" s="22" t="s">
        <v>115</v>
      </c>
      <c r="U2" s="22" t="s">
        <v>116</v>
      </c>
    </row>
    <row r="3" ht="24" customHeight="1" spans="1:21" x14ac:dyDescent="0.25">
      <c r="A3" s="22" t="s">
        <v>117</v>
      </c>
      <c r="B3" s="22" t="s">
        <v>118</v>
      </c>
      <c r="C3" s="22" t="s">
        <v>38</v>
      </c>
      <c r="D3" s="22" t="s">
        <v>119</v>
      </c>
      <c r="E3" s="23" t="s">
        <v>44</v>
      </c>
      <c r="F3" s="25" t="s">
        <v>51</v>
      </c>
      <c r="G3" s="22" t="s">
        <v>120</v>
      </c>
      <c r="H3" s="22" t="s">
        <v>121</v>
      </c>
      <c r="I3" s="22" t="s">
        <v>122</v>
      </c>
      <c r="J3" s="22" t="s">
        <v>123</v>
      </c>
      <c r="K3" s="22" t="s">
        <v>124</v>
      </c>
      <c r="L3" s="23" t="s">
        <v>33</v>
      </c>
      <c r="M3" s="22" t="s">
        <v>110</v>
      </c>
      <c r="N3" s="22" t="s">
        <v>125</v>
      </c>
      <c r="O3" s="22" t="s">
        <v>112</v>
      </c>
      <c r="P3" s="21" t="s">
        <v>126</v>
      </c>
      <c r="Q3" s="22" t="s">
        <v>114</v>
      </c>
      <c r="R3" s="23" t="s">
        <v>36</v>
      </c>
      <c r="S3" s="22" t="s">
        <v>114</v>
      </c>
      <c r="T3" s="22" t="s">
        <v>115</v>
      </c>
      <c r="U3" s="22" t="s">
        <v>116</v>
      </c>
    </row>
    <row r="4" ht="38" customHeight="1" spans="1:21" x14ac:dyDescent="0.25">
      <c r="A4" s="22" t="s">
        <v>127</v>
      </c>
      <c r="B4" s="22" t="s">
        <v>103</v>
      </c>
      <c r="C4" s="22" t="s">
        <v>38</v>
      </c>
      <c r="D4" s="22" t="s">
        <v>128</v>
      </c>
      <c r="E4" s="23" t="s">
        <v>44</v>
      </c>
      <c r="F4" s="26" t="s">
        <v>52</v>
      </c>
      <c r="G4" s="22" t="s">
        <v>120</v>
      </c>
      <c r="H4" s="22" t="s">
        <v>121</v>
      </c>
      <c r="I4" s="22" t="s">
        <v>129</v>
      </c>
      <c r="J4" s="22" t="s">
        <v>130</v>
      </c>
      <c r="K4" s="22" t="s">
        <v>131</v>
      </c>
      <c r="L4" s="23" t="s">
        <v>33</v>
      </c>
      <c r="M4" s="22" t="s">
        <v>110</v>
      </c>
      <c r="N4" s="22" t="s">
        <v>125</v>
      </c>
      <c r="O4" s="22" t="s">
        <v>112</v>
      </c>
      <c r="P4" s="21" t="s">
        <v>132</v>
      </c>
      <c r="Q4" s="22" t="s">
        <v>114</v>
      </c>
      <c r="R4" s="23" t="s">
        <v>36</v>
      </c>
      <c r="S4" s="22" t="s">
        <v>114</v>
      </c>
      <c r="T4" s="22" t="s">
        <v>115</v>
      </c>
      <c r="U4" s="22" t="s">
        <v>116</v>
      </c>
    </row>
    <row r="5" ht="66" customHeight="1" spans="1:21" x14ac:dyDescent="0.25">
      <c r="A5" s="22" t="s">
        <v>133</v>
      </c>
      <c r="B5" s="22" t="s">
        <v>134</v>
      </c>
      <c r="C5" s="22" t="s">
        <v>38</v>
      </c>
      <c r="D5" s="22" t="s">
        <v>135</v>
      </c>
      <c r="E5" s="27" t="s">
        <v>45</v>
      </c>
      <c r="F5" s="25" t="s">
        <v>51</v>
      </c>
      <c r="G5" s="22" t="s">
        <v>136</v>
      </c>
      <c r="H5" s="22" t="s">
        <v>137</v>
      </c>
      <c r="I5" s="22" t="s">
        <v>138</v>
      </c>
      <c r="J5" s="22" t="s">
        <v>139</v>
      </c>
      <c r="K5" s="22" t="s">
        <v>140</v>
      </c>
      <c r="L5" s="23" t="s">
        <v>33</v>
      </c>
      <c r="M5" s="22" t="s">
        <v>110</v>
      </c>
      <c r="N5" s="22" t="s">
        <v>125</v>
      </c>
      <c r="O5" s="22" t="s">
        <v>112</v>
      </c>
      <c r="P5" s="21" t="s">
        <v>141</v>
      </c>
      <c r="Q5" s="22" t="s">
        <v>114</v>
      </c>
      <c r="R5" s="23" t="s">
        <v>36</v>
      </c>
      <c r="S5" s="22" t="s">
        <v>114</v>
      </c>
      <c r="T5" s="22" t="s">
        <v>115</v>
      </c>
      <c r="U5" s="22" t="s">
        <v>116</v>
      </c>
    </row>
    <row r="6" ht="66" customHeight="1" spans="1:21" x14ac:dyDescent="0.25">
      <c r="A6" s="22" t="s">
        <v>142</v>
      </c>
      <c r="B6" s="22" t="s">
        <v>134</v>
      </c>
      <c r="C6" s="22" t="s">
        <v>38</v>
      </c>
      <c r="D6" s="22" t="s">
        <v>143</v>
      </c>
      <c r="E6" s="27" t="s">
        <v>45</v>
      </c>
      <c r="F6" s="25" t="s">
        <v>51</v>
      </c>
      <c r="G6" s="22" t="s">
        <v>144</v>
      </c>
      <c r="H6" s="22" t="s">
        <v>145</v>
      </c>
      <c r="I6" s="22" t="s">
        <v>146</v>
      </c>
      <c r="J6" s="22" t="s">
        <v>147</v>
      </c>
      <c r="K6" s="22" t="s">
        <v>140</v>
      </c>
      <c r="L6" s="23" t="s">
        <v>33</v>
      </c>
      <c r="M6" s="22" t="s">
        <v>110</v>
      </c>
      <c r="N6" s="22" t="s">
        <v>125</v>
      </c>
      <c r="O6" s="22" t="s">
        <v>112</v>
      </c>
      <c r="P6" s="21" t="s">
        <v>148</v>
      </c>
      <c r="Q6" s="22" t="s">
        <v>114</v>
      </c>
      <c r="R6" s="23" t="s">
        <v>36</v>
      </c>
      <c r="S6" s="22" t="s">
        <v>114</v>
      </c>
      <c r="T6" s="22" t="s">
        <v>115</v>
      </c>
      <c r="U6" s="22" t="s">
        <v>116</v>
      </c>
    </row>
    <row r="7" ht="52" customHeight="1" spans="1:21" x14ac:dyDescent="0.25">
      <c r="A7" s="22" t="s">
        <v>149</v>
      </c>
      <c r="B7" s="22" t="s">
        <v>150</v>
      </c>
      <c r="C7" s="22" t="s">
        <v>38</v>
      </c>
      <c r="D7" s="22" t="s">
        <v>151</v>
      </c>
      <c r="E7" s="27" t="s">
        <v>45</v>
      </c>
      <c r="F7" s="26" t="s">
        <v>52</v>
      </c>
      <c r="G7" s="22" t="s">
        <v>140</v>
      </c>
      <c r="H7" s="22" t="s">
        <v>152</v>
      </c>
      <c r="I7" s="22" t="s">
        <v>153</v>
      </c>
      <c r="J7" s="22" t="s">
        <v>154</v>
      </c>
      <c r="K7" s="22" t="s">
        <v>155</v>
      </c>
      <c r="L7" s="23" t="s">
        <v>33</v>
      </c>
      <c r="M7" s="22" t="s">
        <v>110</v>
      </c>
      <c r="N7" s="22" t="s">
        <v>125</v>
      </c>
      <c r="O7" s="22" t="s">
        <v>112</v>
      </c>
      <c r="P7" s="21" t="s">
        <v>156</v>
      </c>
      <c r="Q7" s="22" t="s">
        <v>114</v>
      </c>
      <c r="R7" s="23" t="s">
        <v>36</v>
      </c>
      <c r="S7" s="22" t="s">
        <v>114</v>
      </c>
      <c r="T7" s="22" t="s">
        <v>115</v>
      </c>
      <c r="U7" s="22" t="s">
        <v>116</v>
      </c>
    </row>
    <row r="8" ht="52" customHeight="1" spans="1:21" x14ac:dyDescent="0.25">
      <c r="A8" s="22" t="s">
        <v>157</v>
      </c>
      <c r="B8" s="22" t="s">
        <v>150</v>
      </c>
      <c r="C8" s="22" t="s">
        <v>38</v>
      </c>
      <c r="D8" s="22" t="s">
        <v>158</v>
      </c>
      <c r="E8" s="27" t="s">
        <v>45</v>
      </c>
      <c r="F8" s="26" t="s">
        <v>52</v>
      </c>
      <c r="G8" s="22" t="s">
        <v>140</v>
      </c>
      <c r="H8" s="22" t="s">
        <v>159</v>
      </c>
      <c r="I8" s="22" t="s">
        <v>160</v>
      </c>
      <c r="J8" s="22" t="s">
        <v>161</v>
      </c>
      <c r="K8" s="22" t="s">
        <v>155</v>
      </c>
      <c r="L8" s="23" t="s">
        <v>33</v>
      </c>
      <c r="M8" s="22" t="s">
        <v>110</v>
      </c>
      <c r="N8" s="22" t="s">
        <v>125</v>
      </c>
      <c r="O8" s="22" t="s">
        <v>112</v>
      </c>
      <c r="P8" s="21" t="s">
        <v>162</v>
      </c>
      <c r="Q8" s="22" t="s">
        <v>114</v>
      </c>
      <c r="R8" s="23" t="s">
        <v>36</v>
      </c>
      <c r="S8" s="22" t="s">
        <v>114</v>
      </c>
      <c r="T8" s="22" t="s">
        <v>115</v>
      </c>
      <c r="U8" s="22" t="s">
        <v>116</v>
      </c>
    </row>
    <row r="9" ht="66" customHeight="1" spans="1:21" x14ac:dyDescent="0.25">
      <c r="A9" s="22" t="s">
        <v>163</v>
      </c>
      <c r="B9" s="22" t="s">
        <v>164</v>
      </c>
      <c r="C9" s="22" t="s">
        <v>38</v>
      </c>
      <c r="D9" s="22" t="s">
        <v>165</v>
      </c>
      <c r="E9" s="28" t="s">
        <v>47</v>
      </c>
      <c r="F9" s="25" t="s">
        <v>51</v>
      </c>
      <c r="G9" s="22" t="s">
        <v>140</v>
      </c>
      <c r="H9" s="22" t="s">
        <v>166</v>
      </c>
      <c r="I9" s="22" t="s">
        <v>167</v>
      </c>
      <c r="J9" s="22" t="s">
        <v>168</v>
      </c>
      <c r="K9" s="22" t="s">
        <v>140</v>
      </c>
      <c r="L9" s="23" t="s">
        <v>33</v>
      </c>
      <c r="M9" s="22" t="s">
        <v>110</v>
      </c>
      <c r="N9" s="22" t="s">
        <v>169</v>
      </c>
      <c r="O9" s="22" t="s">
        <v>112</v>
      </c>
      <c r="P9" s="21" t="s">
        <v>170</v>
      </c>
      <c r="Q9" s="22" t="s">
        <v>114</v>
      </c>
      <c r="R9" s="23" t="s">
        <v>36</v>
      </c>
      <c r="S9" s="22" t="s">
        <v>114</v>
      </c>
      <c r="T9" s="22" t="s">
        <v>115</v>
      </c>
      <c r="U9" s="22" t="s">
        <v>116</v>
      </c>
    </row>
    <row r="10" ht="52" customHeight="1" spans="1:21" x14ac:dyDescent="0.25">
      <c r="A10" s="22" t="s">
        <v>171</v>
      </c>
      <c r="B10" s="22" t="s">
        <v>172</v>
      </c>
      <c r="C10" s="22" t="s">
        <v>38</v>
      </c>
      <c r="D10" s="22" t="s">
        <v>173</v>
      </c>
      <c r="E10" s="29" t="s">
        <v>46</v>
      </c>
      <c r="F10" s="30" t="s">
        <v>53</v>
      </c>
      <c r="G10" s="22" t="s">
        <v>140</v>
      </c>
      <c r="H10" s="22" t="s">
        <v>174</v>
      </c>
      <c r="I10" s="22" t="s">
        <v>175</v>
      </c>
      <c r="J10" s="22" t="s">
        <v>176</v>
      </c>
      <c r="K10" s="22" t="s">
        <v>140</v>
      </c>
      <c r="L10" s="23" t="s">
        <v>33</v>
      </c>
      <c r="M10" s="22" t="s">
        <v>110</v>
      </c>
      <c r="N10" s="22" t="s">
        <v>177</v>
      </c>
      <c r="O10" s="22" t="s">
        <v>112</v>
      </c>
      <c r="P10" s="21" t="s">
        <v>178</v>
      </c>
      <c r="Q10" s="22" t="s">
        <v>114</v>
      </c>
      <c r="R10" s="23" t="s">
        <v>36</v>
      </c>
      <c r="S10" s="22" t="s">
        <v>114</v>
      </c>
      <c r="T10" s="22" t="s">
        <v>115</v>
      </c>
      <c r="U10" s="22" t="s">
        <v>116</v>
      </c>
    </row>
    <row r="11" ht="66" customHeight="1" spans="1:21" x14ac:dyDescent="0.25">
      <c r="A11" s="22" t="s">
        <v>179</v>
      </c>
      <c r="B11" s="22" t="s">
        <v>134</v>
      </c>
      <c r="C11" s="22" t="s">
        <v>38</v>
      </c>
      <c r="D11" s="22" t="s">
        <v>180</v>
      </c>
      <c r="E11" s="29" t="s">
        <v>46</v>
      </c>
      <c r="F11" s="26" t="s">
        <v>52</v>
      </c>
      <c r="G11" s="22" t="s">
        <v>144</v>
      </c>
      <c r="H11" s="22" t="s">
        <v>181</v>
      </c>
      <c r="I11" s="22" t="s">
        <v>182</v>
      </c>
      <c r="J11" s="22" t="s">
        <v>183</v>
      </c>
      <c r="K11" s="22" t="s">
        <v>140</v>
      </c>
      <c r="L11" s="23" t="s">
        <v>33</v>
      </c>
      <c r="M11" s="22" t="s">
        <v>110</v>
      </c>
      <c r="N11" s="22" t="s">
        <v>184</v>
      </c>
      <c r="O11" s="22" t="s">
        <v>112</v>
      </c>
      <c r="P11" s="21" t="s">
        <v>185</v>
      </c>
      <c r="Q11" s="22" t="s">
        <v>114</v>
      </c>
      <c r="R11" s="23" t="s">
        <v>36</v>
      </c>
      <c r="S11" s="22" t="s">
        <v>114</v>
      </c>
      <c r="T11" s="22" t="s">
        <v>115</v>
      </c>
      <c r="U11" s="22" t="s">
        <v>116</v>
      </c>
    </row>
    <row r="12" ht="52" customHeight="1" spans="1:21" x14ac:dyDescent="0.25">
      <c r="A12" s="22" t="s">
        <v>186</v>
      </c>
      <c r="B12" s="22" t="s">
        <v>150</v>
      </c>
      <c r="C12" s="22" t="s">
        <v>38</v>
      </c>
      <c r="D12" s="22" t="s">
        <v>187</v>
      </c>
      <c r="E12" s="27" t="s">
        <v>45</v>
      </c>
      <c r="F12" s="30" t="s">
        <v>53</v>
      </c>
      <c r="G12" s="22" t="s">
        <v>140</v>
      </c>
      <c r="H12" s="22" t="s">
        <v>188</v>
      </c>
      <c r="I12" s="22" t="s">
        <v>189</v>
      </c>
      <c r="J12" s="22" t="s">
        <v>190</v>
      </c>
      <c r="K12" s="22" t="s">
        <v>155</v>
      </c>
      <c r="L12" s="29" t="s">
        <v>191</v>
      </c>
      <c r="M12" s="22" t="s">
        <v>191</v>
      </c>
      <c r="N12" s="22" t="s">
        <v>192</v>
      </c>
      <c r="O12" s="22" t="s">
        <v>121</v>
      </c>
      <c r="P12" s="22" t="s">
        <v>193</v>
      </c>
      <c r="Q12" s="22" t="s">
        <v>114</v>
      </c>
      <c r="R12" s="31" t="s">
        <v>194</v>
      </c>
      <c r="S12" s="22" t="s">
        <v>114</v>
      </c>
      <c r="T12" s="22" t="s">
        <v>115</v>
      </c>
      <c r="U12" s="22" t="s">
        <v>116</v>
      </c>
    </row>
    <row r="13" ht="66" customHeight="1" spans="1:21" x14ac:dyDescent="0.25">
      <c r="A13" s="22" t="s">
        <v>195</v>
      </c>
      <c r="B13" s="22" t="s">
        <v>134</v>
      </c>
      <c r="C13" s="22" t="s">
        <v>38</v>
      </c>
      <c r="D13" s="22" t="s">
        <v>196</v>
      </c>
      <c r="E13" s="29" t="s">
        <v>46</v>
      </c>
      <c r="F13" s="30" t="s">
        <v>53</v>
      </c>
      <c r="G13" s="22" t="s">
        <v>144</v>
      </c>
      <c r="H13" s="22" t="s">
        <v>197</v>
      </c>
      <c r="I13" s="22" t="s">
        <v>198</v>
      </c>
      <c r="J13" s="22" t="s">
        <v>199</v>
      </c>
      <c r="K13" s="22" t="s">
        <v>140</v>
      </c>
      <c r="L13" s="29" t="s">
        <v>191</v>
      </c>
      <c r="M13" s="22" t="s">
        <v>191</v>
      </c>
      <c r="N13" s="22" t="s">
        <v>192</v>
      </c>
      <c r="O13" s="22" t="s">
        <v>121</v>
      </c>
      <c r="P13" s="22" t="s">
        <v>200</v>
      </c>
      <c r="Q13" s="22" t="s">
        <v>114</v>
      </c>
      <c r="R13" s="31" t="s">
        <v>194</v>
      </c>
      <c r="S13" s="22" t="s">
        <v>114</v>
      </c>
      <c r="T13" s="22" t="s">
        <v>115</v>
      </c>
      <c r="U13" s="22" t="s">
        <v>116</v>
      </c>
    </row>
    <row r="14" ht="52" customHeight="1" spans="1:21" x14ac:dyDescent="0.25">
      <c r="A14" s="22" t="s">
        <v>201</v>
      </c>
      <c r="B14" s="22" t="s">
        <v>202</v>
      </c>
      <c r="C14" s="22" t="s">
        <v>38</v>
      </c>
      <c r="D14" s="22" t="s">
        <v>203</v>
      </c>
      <c r="E14" s="23" t="s">
        <v>44</v>
      </c>
      <c r="F14" s="30" t="s">
        <v>53</v>
      </c>
      <c r="G14" s="22" t="s">
        <v>140</v>
      </c>
      <c r="H14" s="22" t="s">
        <v>121</v>
      </c>
      <c r="I14" s="22" t="s">
        <v>204</v>
      </c>
      <c r="J14" s="22" t="s">
        <v>205</v>
      </c>
      <c r="K14" s="22" t="s">
        <v>140</v>
      </c>
      <c r="L14" s="29" t="s">
        <v>191</v>
      </c>
      <c r="M14" s="22" t="s">
        <v>191</v>
      </c>
      <c r="N14" s="22" t="s">
        <v>192</v>
      </c>
      <c r="O14" s="22" t="s">
        <v>121</v>
      </c>
      <c r="P14" s="22" t="s">
        <v>200</v>
      </c>
      <c r="Q14" s="22" t="s">
        <v>114</v>
      </c>
      <c r="R14" s="31" t="s">
        <v>194</v>
      </c>
      <c r="S14" s="22" t="s">
        <v>114</v>
      </c>
      <c r="T14" s="22" t="s">
        <v>115</v>
      </c>
      <c r="U14" s="22" t="s">
        <v>116</v>
      </c>
    </row>
    <row r="15" ht="52" customHeight="1" spans="1:21" x14ac:dyDescent="0.25">
      <c r="A15" s="22" t="s">
        <v>206</v>
      </c>
      <c r="B15" s="22" t="s">
        <v>164</v>
      </c>
      <c r="C15" s="22" t="s">
        <v>38</v>
      </c>
      <c r="D15" s="22" t="s">
        <v>207</v>
      </c>
      <c r="E15" s="28" t="s">
        <v>47</v>
      </c>
      <c r="F15" s="26" t="s">
        <v>52</v>
      </c>
      <c r="G15" s="22" t="s">
        <v>140</v>
      </c>
      <c r="H15" s="22" t="s">
        <v>208</v>
      </c>
      <c r="I15" s="22" t="s">
        <v>209</v>
      </c>
      <c r="J15" s="22" t="s">
        <v>210</v>
      </c>
      <c r="K15" s="22" t="s">
        <v>140</v>
      </c>
      <c r="L15" s="29" t="s">
        <v>191</v>
      </c>
      <c r="M15" s="22" t="s">
        <v>191</v>
      </c>
      <c r="N15" s="22" t="s">
        <v>192</v>
      </c>
      <c r="O15" s="22" t="s">
        <v>121</v>
      </c>
      <c r="P15" s="22" t="s">
        <v>211</v>
      </c>
      <c r="Q15" s="22" t="s">
        <v>114</v>
      </c>
      <c r="R15" s="31" t="s">
        <v>194</v>
      </c>
      <c r="S15" s="22" t="s">
        <v>114</v>
      </c>
      <c r="T15" s="22" t="s">
        <v>115</v>
      </c>
      <c r="U15" s="22" t="s">
        <v>116</v>
      </c>
    </row>
    <row r="16" ht="38" customHeight="1" spans="1:21" x14ac:dyDescent="0.25">
      <c r="A16" s="22" t="s">
        <v>212</v>
      </c>
      <c r="B16" s="22" t="s">
        <v>202</v>
      </c>
      <c r="C16" s="22" t="s">
        <v>38</v>
      </c>
      <c r="D16" s="22" t="s">
        <v>213</v>
      </c>
      <c r="E16" s="23" t="s">
        <v>44</v>
      </c>
      <c r="F16" s="30" t="s">
        <v>53</v>
      </c>
      <c r="G16" s="22" t="s">
        <v>140</v>
      </c>
      <c r="H16" s="22" t="s">
        <v>214</v>
      </c>
      <c r="I16" s="22" t="s">
        <v>215</v>
      </c>
      <c r="J16" s="22" t="s">
        <v>216</v>
      </c>
      <c r="K16" s="22" t="s">
        <v>140</v>
      </c>
      <c r="L16" s="29" t="s">
        <v>191</v>
      </c>
      <c r="M16" s="22" t="s">
        <v>191</v>
      </c>
      <c r="N16" s="22" t="s">
        <v>192</v>
      </c>
      <c r="O16" s="22" t="s">
        <v>121</v>
      </c>
      <c r="P16" s="22" t="s">
        <v>217</v>
      </c>
      <c r="Q16" s="22" t="s">
        <v>114</v>
      </c>
      <c r="R16" s="31" t="s">
        <v>194</v>
      </c>
      <c r="S16" s="22" t="s">
        <v>114</v>
      </c>
      <c r="T16" s="22" t="s">
        <v>115</v>
      </c>
      <c r="U16" s="22" t="s">
        <v>116</v>
      </c>
    </row>
    <row r="17" ht="52" customHeight="1" spans="1:21" x14ac:dyDescent="0.25">
      <c r="A17" s="22" t="s">
        <v>218</v>
      </c>
      <c r="B17" s="22" t="s">
        <v>172</v>
      </c>
      <c r="C17" s="22" t="s">
        <v>38</v>
      </c>
      <c r="D17" s="22" t="s">
        <v>219</v>
      </c>
      <c r="E17" s="29" t="s">
        <v>46</v>
      </c>
      <c r="F17" s="30" t="s">
        <v>53</v>
      </c>
      <c r="G17" s="22" t="s">
        <v>140</v>
      </c>
      <c r="H17" s="22" t="s">
        <v>220</v>
      </c>
      <c r="I17" s="22" t="s">
        <v>221</v>
      </c>
      <c r="J17" s="22" t="s">
        <v>222</v>
      </c>
      <c r="K17" s="22" t="s">
        <v>140</v>
      </c>
      <c r="L17" s="29" t="s">
        <v>191</v>
      </c>
      <c r="M17" s="22" t="s">
        <v>191</v>
      </c>
      <c r="N17" s="22" t="s">
        <v>192</v>
      </c>
      <c r="O17" s="22" t="s">
        <v>121</v>
      </c>
      <c r="P17" s="22" t="s">
        <v>200</v>
      </c>
      <c r="Q17" s="22" t="s">
        <v>114</v>
      </c>
      <c r="R17" s="31" t="s">
        <v>194</v>
      </c>
      <c r="S17" s="22" t="s">
        <v>114</v>
      </c>
      <c r="T17" s="22" t="s">
        <v>115</v>
      </c>
      <c r="U17" s="22" t="s">
        <v>116</v>
      </c>
    </row>
    <row r="18" ht="66" customHeight="1" spans="1:21" x14ac:dyDescent="0.25">
      <c r="A18" s="22" t="s">
        <v>223</v>
      </c>
      <c r="B18" s="22" t="s">
        <v>103</v>
      </c>
      <c r="C18" s="22" t="s">
        <v>38</v>
      </c>
      <c r="D18" s="22" t="s">
        <v>224</v>
      </c>
      <c r="E18" s="23" t="s">
        <v>44</v>
      </c>
      <c r="F18" s="25" t="s">
        <v>51</v>
      </c>
      <c r="G18" s="22" t="s">
        <v>120</v>
      </c>
      <c r="H18" s="22" t="s">
        <v>121</v>
      </c>
      <c r="I18" s="22" t="s">
        <v>225</v>
      </c>
      <c r="J18" s="22" t="s">
        <v>226</v>
      </c>
      <c r="K18" s="22" t="s">
        <v>227</v>
      </c>
      <c r="L18" s="23" t="s">
        <v>33</v>
      </c>
      <c r="M18" s="22" t="s">
        <v>110</v>
      </c>
      <c r="N18" s="22" t="s">
        <v>125</v>
      </c>
      <c r="O18" s="22" t="s">
        <v>112</v>
      </c>
      <c r="P18" s="21" t="s">
        <v>228</v>
      </c>
      <c r="Q18" s="22" t="s">
        <v>114</v>
      </c>
      <c r="R18" s="23" t="s">
        <v>36</v>
      </c>
      <c r="S18" s="22" t="s">
        <v>114</v>
      </c>
      <c r="T18" s="22" t="s">
        <v>115</v>
      </c>
      <c r="U18" s="22" t="s">
        <v>116</v>
      </c>
    </row>
    <row r="19" ht="66" customHeight="1" spans="1:21" x14ac:dyDescent="0.25">
      <c r="A19" s="22" t="s">
        <v>229</v>
      </c>
      <c r="B19" s="22" t="s">
        <v>164</v>
      </c>
      <c r="C19" s="22" t="s">
        <v>38</v>
      </c>
      <c r="D19" s="22" t="s">
        <v>230</v>
      </c>
      <c r="E19" s="28" t="s">
        <v>47</v>
      </c>
      <c r="F19" s="25" t="s">
        <v>51</v>
      </c>
      <c r="G19" s="22" t="s">
        <v>231</v>
      </c>
      <c r="H19" s="22" t="s">
        <v>232</v>
      </c>
      <c r="I19" s="22" t="s">
        <v>233</v>
      </c>
      <c r="J19" s="22" t="s">
        <v>234</v>
      </c>
      <c r="K19" s="22" t="s">
        <v>140</v>
      </c>
      <c r="L19" s="23" t="s">
        <v>33</v>
      </c>
      <c r="M19" s="22" t="s">
        <v>110</v>
      </c>
      <c r="N19" s="22" t="s">
        <v>235</v>
      </c>
      <c r="O19" s="22" t="s">
        <v>112</v>
      </c>
      <c r="P19" s="21" t="s">
        <v>236</v>
      </c>
      <c r="Q19" s="22" t="s">
        <v>114</v>
      </c>
      <c r="R19" s="23" t="s">
        <v>36</v>
      </c>
      <c r="S19" s="22" t="s">
        <v>114</v>
      </c>
      <c r="T19" s="22" t="s">
        <v>115</v>
      </c>
      <c r="U19" s="22" t="s">
        <v>116</v>
      </c>
    </row>
    <row r="20" ht="52" customHeight="1" spans="1:21" x14ac:dyDescent="0.25">
      <c r="A20" s="22" t="s">
        <v>237</v>
      </c>
      <c r="B20" s="22" t="s">
        <v>164</v>
      </c>
      <c r="C20" s="22" t="s">
        <v>38</v>
      </c>
      <c r="D20" s="22" t="s">
        <v>238</v>
      </c>
      <c r="E20" s="28" t="s">
        <v>47</v>
      </c>
      <c r="F20" s="25" t="s">
        <v>51</v>
      </c>
      <c r="G20" s="22" t="s">
        <v>120</v>
      </c>
      <c r="H20" s="22" t="s">
        <v>121</v>
      </c>
      <c r="I20" s="22" t="s">
        <v>239</v>
      </c>
      <c r="J20" s="22" t="s">
        <v>240</v>
      </c>
      <c r="K20" s="22" t="s">
        <v>241</v>
      </c>
      <c r="L20" s="23" t="s">
        <v>33</v>
      </c>
      <c r="M20" s="22" t="s">
        <v>110</v>
      </c>
      <c r="N20" s="22" t="s">
        <v>242</v>
      </c>
      <c r="O20" s="22" t="s">
        <v>112</v>
      </c>
      <c r="P20" s="21" t="s">
        <v>243</v>
      </c>
      <c r="Q20" s="22" t="s">
        <v>114</v>
      </c>
      <c r="R20" s="23" t="s">
        <v>36</v>
      </c>
      <c r="S20" s="22" t="s">
        <v>114</v>
      </c>
      <c r="T20" s="22" t="s">
        <v>115</v>
      </c>
      <c r="U20" s="22" t="s">
        <v>116</v>
      </c>
    </row>
    <row r="21" ht="52" customHeight="1" spans="1:21" x14ac:dyDescent="0.25">
      <c r="A21" s="22" t="s">
        <v>244</v>
      </c>
      <c r="B21" s="22" t="s">
        <v>172</v>
      </c>
      <c r="C21" s="22" t="s">
        <v>38</v>
      </c>
      <c r="D21" s="22" t="s">
        <v>245</v>
      </c>
      <c r="E21" s="29" t="s">
        <v>46</v>
      </c>
      <c r="F21" s="30" t="s">
        <v>53</v>
      </c>
      <c r="G21" s="22" t="s">
        <v>140</v>
      </c>
      <c r="H21" s="22" t="s">
        <v>246</v>
      </c>
      <c r="I21" s="22" t="s">
        <v>247</v>
      </c>
      <c r="J21" s="22" t="s">
        <v>248</v>
      </c>
      <c r="K21" s="22" t="s">
        <v>140</v>
      </c>
      <c r="L21" s="23" t="s">
        <v>33</v>
      </c>
      <c r="M21" s="22" t="s">
        <v>110</v>
      </c>
      <c r="N21" s="22" t="s">
        <v>177</v>
      </c>
      <c r="O21" s="22" t="s">
        <v>112</v>
      </c>
      <c r="P21" s="21" t="s">
        <v>249</v>
      </c>
      <c r="Q21" s="22" t="s">
        <v>114</v>
      </c>
      <c r="R21" s="23" t="s">
        <v>36</v>
      </c>
      <c r="S21" s="22" t="s">
        <v>114</v>
      </c>
      <c r="T21" s="22" t="s">
        <v>115</v>
      </c>
      <c r="U21" s="22" t="s">
        <v>116</v>
      </c>
    </row>
    <row r="22" ht="94" customHeight="1" spans="1:21" x14ac:dyDescent="0.25">
      <c r="A22" s="22" t="s">
        <v>250</v>
      </c>
      <c r="B22" s="22" t="s">
        <v>164</v>
      </c>
      <c r="C22" s="22" t="s">
        <v>38</v>
      </c>
      <c r="D22" s="22" t="s">
        <v>251</v>
      </c>
      <c r="E22" s="28" t="s">
        <v>47</v>
      </c>
      <c r="F22" s="26" t="s">
        <v>52</v>
      </c>
      <c r="G22" s="22" t="s">
        <v>144</v>
      </c>
      <c r="H22" s="22" t="s">
        <v>252</v>
      </c>
      <c r="I22" s="22" t="s">
        <v>253</v>
      </c>
      <c r="J22" s="22" t="s">
        <v>254</v>
      </c>
      <c r="K22" s="22" t="s">
        <v>140</v>
      </c>
      <c r="L22" s="29" t="s">
        <v>191</v>
      </c>
      <c r="M22" s="22" t="s">
        <v>191</v>
      </c>
      <c r="N22" s="22" t="s">
        <v>255</v>
      </c>
      <c r="O22" s="22" t="s">
        <v>121</v>
      </c>
      <c r="P22" s="22" t="s">
        <v>256</v>
      </c>
      <c r="Q22" s="22" t="s">
        <v>114</v>
      </c>
      <c r="R22" s="31" t="s">
        <v>194</v>
      </c>
      <c r="S22" s="22" t="s">
        <v>114</v>
      </c>
      <c r="T22" s="22" t="s">
        <v>115</v>
      </c>
      <c r="U22" s="22" t="s">
        <v>116</v>
      </c>
    </row>
    <row r="23" ht="66" customHeight="1" spans="1:21" x14ac:dyDescent="0.25">
      <c r="A23" s="22" t="s">
        <v>59</v>
      </c>
      <c r="B23" s="22" t="s">
        <v>164</v>
      </c>
      <c r="C23" s="22" t="s">
        <v>38</v>
      </c>
      <c r="D23" s="22" t="s">
        <v>257</v>
      </c>
      <c r="E23" s="28" t="s">
        <v>47</v>
      </c>
      <c r="F23" s="26" t="s">
        <v>52</v>
      </c>
      <c r="G23" s="22" t="s">
        <v>144</v>
      </c>
      <c r="H23" s="22" t="s">
        <v>258</v>
      </c>
      <c r="I23" s="22" t="s">
        <v>259</v>
      </c>
      <c r="J23" s="22" t="s">
        <v>260</v>
      </c>
      <c r="K23" s="22" t="s">
        <v>140</v>
      </c>
      <c r="L23" s="23" t="s">
        <v>33</v>
      </c>
      <c r="M23" s="22" t="s">
        <v>110</v>
      </c>
      <c r="N23" s="22" t="s">
        <v>242</v>
      </c>
      <c r="O23" s="22" t="s">
        <v>112</v>
      </c>
      <c r="P23" s="21" t="s">
        <v>261</v>
      </c>
      <c r="Q23" s="22" t="s">
        <v>60</v>
      </c>
      <c r="R23" s="32" t="s">
        <v>262</v>
      </c>
      <c r="S23" s="20" t="s">
        <v>58</v>
      </c>
      <c r="T23" s="22" t="s">
        <v>115</v>
      </c>
      <c r="U23" s="22" t="s">
        <v>116</v>
      </c>
    </row>
    <row r="24" ht="38" customHeight="1" spans="1:21" x14ac:dyDescent="0.25">
      <c r="A24" s="22" t="s">
        <v>62</v>
      </c>
      <c r="B24" s="22" t="s">
        <v>172</v>
      </c>
      <c r="C24" s="22" t="s">
        <v>38</v>
      </c>
      <c r="D24" s="22" t="s">
        <v>263</v>
      </c>
      <c r="E24" s="27" t="s">
        <v>45</v>
      </c>
      <c r="F24" s="26" t="s">
        <v>52</v>
      </c>
      <c r="G24" s="22" t="s">
        <v>140</v>
      </c>
      <c r="H24" s="22" t="s">
        <v>264</v>
      </c>
      <c r="I24" s="22" t="s">
        <v>265</v>
      </c>
      <c r="J24" s="22" t="s">
        <v>266</v>
      </c>
      <c r="K24" s="22" t="s">
        <v>140</v>
      </c>
      <c r="L24" s="23" t="s">
        <v>33</v>
      </c>
      <c r="M24" s="22" t="s">
        <v>110</v>
      </c>
      <c r="N24" s="22" t="s">
        <v>184</v>
      </c>
      <c r="O24" s="22" t="s">
        <v>112</v>
      </c>
      <c r="P24" s="21" t="s">
        <v>267</v>
      </c>
      <c r="Q24" s="22" t="s">
        <v>63</v>
      </c>
      <c r="R24" s="32" t="s">
        <v>262</v>
      </c>
      <c r="S24" s="20" t="s">
        <v>61</v>
      </c>
      <c r="T24" s="22" t="s">
        <v>115</v>
      </c>
      <c r="U24" s="22" t="s">
        <v>116</v>
      </c>
    </row>
  </sheetData>
  <autoFilter ref="A1:U1"/>
  <dataValidations count="12">
    <dataValidation type="list" showErrorMessage="1" errorTitle="Invalid value" error="Please choose a value from the dropdown list (see the hidden Lists sheet)." sqref="C10:C24">
      <formula1>Lists!$A$2:$A$3</formula1>
    </dataValidation>
    <dataValidation type="list" showErrorMessage="1" errorTitle="Invalid value" error="Please choose a value from the dropdown list (see the hidden Lists sheet)." sqref="C2:C24">
      <formula1>Lists!$A$2:$A$3</formula1>
    </dataValidation>
    <dataValidation type="list" showErrorMessage="1" errorTitle="Invalid value" error="Please choose a value from the dropdown list (see the hidden Lists sheet)." sqref="E10:E24">
      <formula1>Lists!$B$2:$B$5</formula1>
    </dataValidation>
    <dataValidation type="list" showErrorMessage="1" errorTitle="Invalid value" error="Please choose a value from the dropdown list (see the hidden Lists sheet)." sqref="E2:E24">
      <formula1>Lists!$B$2:$B$5</formula1>
    </dataValidation>
    <dataValidation type="list" showErrorMessage="1" errorTitle="Invalid value" error="Please choose a value from the dropdown list (see the hidden Lists sheet)." sqref="F10:F24">
      <formula1>Lists!$C$2:$C$5</formula1>
    </dataValidation>
    <dataValidation type="list" showErrorMessage="1" errorTitle="Invalid value" error="Please choose a value from the dropdown list (see the hidden Lists sheet)." sqref="F2:F24">
      <formula1>Lists!$C$2:$C$5</formula1>
    </dataValidation>
    <dataValidation type="list" showErrorMessage="1" errorTitle="Invalid value" error="Please choose a value from the dropdown list (see the hidden Lists sheet)." sqref="L10:L24">
      <formula1>Lists!$D$2:$D$4</formula1>
    </dataValidation>
    <dataValidation type="list" showErrorMessage="1" errorTitle="Invalid value" error="Please choose a value from the dropdown list (see the hidden Lists sheet)." sqref="L2:L24">
      <formula1>Lists!$D$2:$D$4</formula1>
    </dataValidation>
    <dataValidation type="list" showErrorMessage="1" errorTitle="Invalid value" error="Please choose a value from the dropdown list (see the hidden Lists sheet)." sqref="M10:M24">
      <formula1>Lists!$E$2:$E$4</formula1>
    </dataValidation>
    <dataValidation type="list" showErrorMessage="1" errorTitle="Invalid value" error="Please choose a value from the dropdown list (see the hidden Lists sheet)." sqref="M2:M24">
      <formula1>Lists!$E$2:$E$4</formula1>
    </dataValidation>
    <dataValidation type="list" showErrorMessage="1" errorTitle="Invalid value" error="Please choose a value from the dropdown list (see the hidden Lists sheet)." sqref="R10:R24">
      <formula1>Lists!$F$2:$F$4</formula1>
    </dataValidation>
    <dataValidation type="list" showErrorMessage="1" errorTitle="Invalid value" error="Please choose a value from the dropdown list (see the hidden Lists sheet)." sqref="R2:R24">
      <formula1>Lists!$F$2:$F$4</formula1>
    </dataValidation>
  </dataValidations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8" r:id="rId11"/>
    <hyperlink ref="P19" r:id="rId12"/>
    <hyperlink ref="P20" r:id="rId13"/>
    <hyperlink ref="P21" r:id="rId14"/>
    <hyperlink ref="P23" r:id="rId15"/>
    <hyperlink ref="P24" r:id="rId1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5" customWidth="1"/>
    <col min="4" max="4" width="38" customWidth="1"/>
    <col min="5" max="5" width="11" customWidth="1"/>
    <col min="6" max="6" width="10" customWidth="1"/>
    <col min="7" max="7" width="26" customWidth="1"/>
    <col min="8" max="8" width="28" customWidth="1"/>
    <col min="9" max="10" width="42" customWidth="1"/>
    <col min="11" max="11" width="26" customWidth="1"/>
    <col min="12" max="12" width="16" customWidth="1"/>
    <col min="13" max="13" width="10" customWidth="1"/>
    <col min="14" max="14" width="22" customWidth="1"/>
    <col min="15" max="15" width="26" customWidth="1"/>
    <col min="16" max="16" width="42" customWidth="1"/>
    <col min="17" max="17" width="36" customWidth="1"/>
    <col min="18" max="18" width="16" customWidth="1"/>
    <col min="19" max="19" width="12" customWidth="1"/>
    <col min="20" max="20" width="22" customWidth="1"/>
    <col min="21" max="21" width="14" customWidth="1"/>
  </cols>
  <sheetData>
    <row r="1" ht="22" customHeight="1" spans="1:21" x14ac:dyDescent="0.25">
      <c r="A1" s="6" t="s">
        <v>85</v>
      </c>
      <c r="B1" s="6" t="s">
        <v>86</v>
      </c>
      <c r="C1" s="6" t="s">
        <v>31</v>
      </c>
      <c r="D1" s="6" t="s">
        <v>87</v>
      </c>
      <c r="E1" s="6" t="s">
        <v>42</v>
      </c>
      <c r="F1" s="6" t="s">
        <v>49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  <c r="L1" s="6" t="s">
        <v>93</v>
      </c>
      <c r="M1" s="6" t="s">
        <v>94</v>
      </c>
      <c r="N1" s="6" t="s">
        <v>95</v>
      </c>
      <c r="O1" s="6" t="s">
        <v>96</v>
      </c>
      <c r="P1" s="6" t="s">
        <v>97</v>
      </c>
      <c r="Q1" s="6" t="s">
        <v>98</v>
      </c>
      <c r="R1" s="6" t="s">
        <v>99</v>
      </c>
      <c r="S1" s="6" t="s">
        <v>55</v>
      </c>
      <c r="T1" s="6" t="s">
        <v>100</v>
      </c>
      <c r="U1" s="6" t="s">
        <v>101</v>
      </c>
    </row>
    <row r="2" ht="52" customHeight="1" spans="1:21" x14ac:dyDescent="0.25">
      <c r="A2" s="22" t="s">
        <v>268</v>
      </c>
      <c r="B2" s="22" t="s">
        <v>269</v>
      </c>
      <c r="C2" s="22" t="s">
        <v>39</v>
      </c>
      <c r="D2" s="22" t="s">
        <v>270</v>
      </c>
      <c r="E2" s="23" t="s">
        <v>44</v>
      </c>
      <c r="F2" s="24" t="s">
        <v>50</v>
      </c>
      <c r="G2" s="22" t="s">
        <v>271</v>
      </c>
      <c r="H2" s="22" t="s">
        <v>272</v>
      </c>
      <c r="I2" s="22" t="s">
        <v>273</v>
      </c>
      <c r="J2" s="22" t="s">
        <v>274</v>
      </c>
      <c r="K2" s="22" t="s">
        <v>275</v>
      </c>
      <c r="L2" s="23" t="s">
        <v>33</v>
      </c>
      <c r="M2" s="22" t="s">
        <v>110</v>
      </c>
      <c r="N2" s="22" t="s">
        <v>111</v>
      </c>
      <c r="O2" s="22" t="s">
        <v>112</v>
      </c>
      <c r="P2" s="21" t="s">
        <v>276</v>
      </c>
      <c r="Q2" s="22" t="s">
        <v>114</v>
      </c>
      <c r="R2" s="23" t="s">
        <v>36</v>
      </c>
      <c r="S2" s="22" t="s">
        <v>114</v>
      </c>
      <c r="T2" s="22" t="s">
        <v>115</v>
      </c>
      <c r="U2" s="22" t="s">
        <v>116</v>
      </c>
    </row>
    <row r="3" ht="94" customHeight="1" spans="1:21" x14ac:dyDescent="0.25">
      <c r="A3" s="22" t="s">
        <v>277</v>
      </c>
      <c r="B3" s="22" t="s">
        <v>278</v>
      </c>
      <c r="C3" s="22" t="s">
        <v>39</v>
      </c>
      <c r="D3" s="22" t="s">
        <v>279</v>
      </c>
      <c r="E3" s="23" t="s">
        <v>44</v>
      </c>
      <c r="F3" s="24" t="s">
        <v>50</v>
      </c>
      <c r="G3" s="22" t="s">
        <v>144</v>
      </c>
      <c r="H3" s="22" t="s">
        <v>280</v>
      </c>
      <c r="I3" s="22" t="s">
        <v>281</v>
      </c>
      <c r="J3" s="22" t="s">
        <v>282</v>
      </c>
      <c r="K3" s="22" t="s">
        <v>283</v>
      </c>
      <c r="L3" s="23" t="s">
        <v>33</v>
      </c>
      <c r="M3" s="22" t="s">
        <v>110</v>
      </c>
      <c r="N3" s="22" t="s">
        <v>284</v>
      </c>
      <c r="O3" s="22" t="s">
        <v>112</v>
      </c>
      <c r="P3" s="21" t="s">
        <v>285</v>
      </c>
      <c r="Q3" s="22" t="s">
        <v>114</v>
      </c>
      <c r="R3" s="23" t="s">
        <v>36</v>
      </c>
      <c r="S3" s="22" t="s">
        <v>114</v>
      </c>
      <c r="T3" s="22" t="s">
        <v>115</v>
      </c>
      <c r="U3" s="22" t="s">
        <v>116</v>
      </c>
    </row>
    <row r="4" ht="52" customHeight="1" spans="1:21" x14ac:dyDescent="0.25">
      <c r="A4" s="22" t="s">
        <v>286</v>
      </c>
      <c r="B4" s="22" t="s">
        <v>269</v>
      </c>
      <c r="C4" s="22" t="s">
        <v>39</v>
      </c>
      <c r="D4" s="22" t="s">
        <v>287</v>
      </c>
      <c r="E4" s="29" t="s">
        <v>46</v>
      </c>
      <c r="F4" s="26" t="s">
        <v>52</v>
      </c>
      <c r="G4" s="22" t="s">
        <v>140</v>
      </c>
      <c r="H4" s="22" t="s">
        <v>288</v>
      </c>
      <c r="I4" s="22" t="s">
        <v>289</v>
      </c>
      <c r="J4" s="22" t="s">
        <v>290</v>
      </c>
      <c r="K4" s="22" t="s">
        <v>291</v>
      </c>
      <c r="L4" s="23" t="s">
        <v>33</v>
      </c>
      <c r="M4" s="22" t="s">
        <v>110</v>
      </c>
      <c r="N4" s="22" t="s">
        <v>184</v>
      </c>
      <c r="O4" s="22" t="s">
        <v>112</v>
      </c>
      <c r="P4" s="21" t="s">
        <v>292</v>
      </c>
      <c r="Q4" s="22" t="s">
        <v>114</v>
      </c>
      <c r="R4" s="23" t="s">
        <v>36</v>
      </c>
      <c r="S4" s="22" t="s">
        <v>114</v>
      </c>
      <c r="T4" s="22" t="s">
        <v>115</v>
      </c>
      <c r="U4" s="22" t="s">
        <v>116</v>
      </c>
    </row>
    <row r="5" ht="38" customHeight="1" spans="1:21" x14ac:dyDescent="0.25">
      <c r="A5" s="22" t="s">
        <v>293</v>
      </c>
      <c r="B5" s="22" t="s">
        <v>294</v>
      </c>
      <c r="C5" s="22" t="s">
        <v>39</v>
      </c>
      <c r="D5" s="22" t="s">
        <v>295</v>
      </c>
      <c r="E5" s="23" t="s">
        <v>44</v>
      </c>
      <c r="F5" s="25" t="s">
        <v>51</v>
      </c>
      <c r="G5" s="22" t="s">
        <v>296</v>
      </c>
      <c r="H5" s="22" t="s">
        <v>297</v>
      </c>
      <c r="I5" s="22" t="s">
        <v>298</v>
      </c>
      <c r="J5" s="22" t="s">
        <v>299</v>
      </c>
      <c r="K5" s="22" t="s">
        <v>300</v>
      </c>
      <c r="L5" s="23" t="s">
        <v>33</v>
      </c>
      <c r="M5" s="22" t="s">
        <v>110</v>
      </c>
      <c r="N5" s="22" t="s">
        <v>125</v>
      </c>
      <c r="O5" s="22" t="s">
        <v>112</v>
      </c>
      <c r="P5" s="21" t="s">
        <v>301</v>
      </c>
      <c r="Q5" s="22" t="s">
        <v>114</v>
      </c>
      <c r="R5" s="23" t="s">
        <v>36</v>
      </c>
      <c r="S5" s="22" t="s">
        <v>114</v>
      </c>
      <c r="T5" s="22" t="s">
        <v>115</v>
      </c>
      <c r="U5" s="22" t="s">
        <v>116</v>
      </c>
    </row>
    <row r="6" ht="52" customHeight="1" spans="1:21" x14ac:dyDescent="0.25">
      <c r="A6" s="22" t="s">
        <v>302</v>
      </c>
      <c r="B6" s="22" t="s">
        <v>303</v>
      </c>
      <c r="C6" s="22" t="s">
        <v>39</v>
      </c>
      <c r="D6" s="22" t="s">
        <v>304</v>
      </c>
      <c r="E6" s="27" t="s">
        <v>45</v>
      </c>
      <c r="F6" s="25" t="s">
        <v>51</v>
      </c>
      <c r="G6" s="22" t="s">
        <v>296</v>
      </c>
      <c r="H6" s="22" t="s">
        <v>305</v>
      </c>
      <c r="I6" s="22" t="s">
        <v>306</v>
      </c>
      <c r="J6" s="22" t="s">
        <v>307</v>
      </c>
      <c r="K6" s="22" t="s">
        <v>308</v>
      </c>
      <c r="L6" s="23" t="s">
        <v>33</v>
      </c>
      <c r="M6" s="22" t="s">
        <v>110</v>
      </c>
      <c r="N6" s="22" t="s">
        <v>125</v>
      </c>
      <c r="O6" s="22" t="s">
        <v>112</v>
      </c>
      <c r="P6" s="21" t="s">
        <v>309</v>
      </c>
      <c r="Q6" s="22" t="s">
        <v>114</v>
      </c>
      <c r="R6" s="23" t="s">
        <v>36</v>
      </c>
      <c r="S6" s="22" t="s">
        <v>114</v>
      </c>
      <c r="T6" s="22" t="s">
        <v>115</v>
      </c>
      <c r="U6" s="22" t="s">
        <v>116</v>
      </c>
    </row>
    <row r="7" ht="52" customHeight="1" spans="1:21" x14ac:dyDescent="0.25">
      <c r="A7" s="22" t="s">
        <v>310</v>
      </c>
      <c r="B7" s="22" t="s">
        <v>303</v>
      </c>
      <c r="C7" s="22" t="s">
        <v>39</v>
      </c>
      <c r="D7" s="22" t="s">
        <v>311</v>
      </c>
      <c r="E7" s="23" t="s">
        <v>44</v>
      </c>
      <c r="F7" s="26" t="s">
        <v>52</v>
      </c>
      <c r="G7" s="22" t="s">
        <v>296</v>
      </c>
      <c r="H7" s="22" t="s">
        <v>312</v>
      </c>
      <c r="I7" s="22" t="s">
        <v>313</v>
      </c>
      <c r="J7" s="22" t="s">
        <v>314</v>
      </c>
      <c r="K7" s="22" t="s">
        <v>315</v>
      </c>
      <c r="L7" s="23" t="s">
        <v>33</v>
      </c>
      <c r="M7" s="22" t="s">
        <v>110</v>
      </c>
      <c r="N7" s="22" t="s">
        <v>184</v>
      </c>
      <c r="O7" s="22" t="s">
        <v>112</v>
      </c>
      <c r="P7" s="21" t="s">
        <v>316</v>
      </c>
      <c r="Q7" s="22" t="s">
        <v>114</v>
      </c>
      <c r="R7" s="23" t="s">
        <v>36</v>
      </c>
      <c r="S7" s="22" t="s">
        <v>114</v>
      </c>
      <c r="T7" s="22" t="s">
        <v>115</v>
      </c>
      <c r="U7" s="22" t="s">
        <v>116</v>
      </c>
    </row>
    <row r="8" ht="52" customHeight="1" spans="1:21" x14ac:dyDescent="0.25">
      <c r="A8" s="22" t="s">
        <v>317</v>
      </c>
      <c r="B8" s="22" t="s">
        <v>318</v>
      </c>
      <c r="C8" s="22" t="s">
        <v>39</v>
      </c>
      <c r="D8" s="22" t="s">
        <v>319</v>
      </c>
      <c r="E8" s="23" t="s">
        <v>44</v>
      </c>
      <c r="F8" s="26" t="s">
        <v>52</v>
      </c>
      <c r="G8" s="22" t="s">
        <v>140</v>
      </c>
      <c r="H8" s="22" t="s">
        <v>320</v>
      </c>
      <c r="I8" s="22" t="s">
        <v>321</v>
      </c>
      <c r="J8" s="22" t="s">
        <v>322</v>
      </c>
      <c r="K8" s="22" t="s">
        <v>291</v>
      </c>
      <c r="L8" s="23" t="s">
        <v>33</v>
      </c>
      <c r="M8" s="22" t="s">
        <v>110</v>
      </c>
      <c r="N8" s="22" t="s">
        <v>125</v>
      </c>
      <c r="O8" s="22" t="s">
        <v>112</v>
      </c>
      <c r="P8" s="21" t="s">
        <v>323</v>
      </c>
      <c r="Q8" s="22" t="s">
        <v>114</v>
      </c>
      <c r="R8" s="23" t="s">
        <v>36</v>
      </c>
      <c r="S8" s="22" t="s">
        <v>114</v>
      </c>
      <c r="T8" s="22" t="s">
        <v>115</v>
      </c>
      <c r="U8" s="22" t="s">
        <v>116</v>
      </c>
    </row>
    <row r="9" ht="38" customHeight="1" spans="1:21" x14ac:dyDescent="0.25">
      <c r="A9" s="22" t="s">
        <v>324</v>
      </c>
      <c r="B9" s="22" t="s">
        <v>325</v>
      </c>
      <c r="C9" s="22" t="s">
        <v>39</v>
      </c>
      <c r="D9" s="22" t="s">
        <v>326</v>
      </c>
      <c r="E9" s="29" t="s">
        <v>46</v>
      </c>
      <c r="F9" s="26" t="s">
        <v>52</v>
      </c>
      <c r="G9" s="22" t="s">
        <v>124</v>
      </c>
      <c r="H9" s="22" t="s">
        <v>121</v>
      </c>
      <c r="I9" s="22" t="s">
        <v>327</v>
      </c>
      <c r="J9" s="22" t="s">
        <v>328</v>
      </c>
      <c r="K9" s="22" t="s">
        <v>140</v>
      </c>
      <c r="L9" s="23" t="s">
        <v>33</v>
      </c>
      <c r="M9" s="22" t="s">
        <v>110</v>
      </c>
      <c r="N9" s="22" t="s">
        <v>184</v>
      </c>
      <c r="O9" s="22" t="s">
        <v>112</v>
      </c>
      <c r="P9" s="21" t="s">
        <v>329</v>
      </c>
      <c r="Q9" s="22" t="s">
        <v>114</v>
      </c>
      <c r="R9" s="23" t="s">
        <v>36</v>
      </c>
      <c r="S9" s="22" t="s">
        <v>114</v>
      </c>
      <c r="T9" s="22" t="s">
        <v>115</v>
      </c>
      <c r="U9" s="22" t="s">
        <v>116</v>
      </c>
    </row>
    <row r="10" ht="52" customHeight="1" spans="1:21" x14ac:dyDescent="0.25">
      <c r="A10" s="22" t="s">
        <v>65</v>
      </c>
      <c r="B10" s="22" t="s">
        <v>303</v>
      </c>
      <c r="C10" s="22" t="s">
        <v>39</v>
      </c>
      <c r="D10" s="22" t="s">
        <v>330</v>
      </c>
      <c r="E10" s="27" t="s">
        <v>45</v>
      </c>
      <c r="F10" s="30" t="s">
        <v>53</v>
      </c>
      <c r="G10" s="22" t="s">
        <v>296</v>
      </c>
      <c r="H10" s="22" t="s">
        <v>331</v>
      </c>
      <c r="I10" s="22" t="s">
        <v>332</v>
      </c>
      <c r="J10" s="22" t="s">
        <v>333</v>
      </c>
      <c r="K10" s="22" t="s">
        <v>140</v>
      </c>
      <c r="L10" s="29" t="s">
        <v>191</v>
      </c>
      <c r="M10" s="22" t="s">
        <v>191</v>
      </c>
      <c r="N10" s="22" t="s">
        <v>192</v>
      </c>
      <c r="O10" s="22" t="s">
        <v>121</v>
      </c>
      <c r="P10" s="22" t="s">
        <v>334</v>
      </c>
      <c r="Q10" s="22" t="s">
        <v>66</v>
      </c>
      <c r="R10" s="31" t="s">
        <v>194</v>
      </c>
      <c r="S10" s="20" t="s">
        <v>64</v>
      </c>
      <c r="T10" s="22" t="s">
        <v>115</v>
      </c>
      <c r="U10" s="22" t="s">
        <v>116</v>
      </c>
    </row>
    <row r="11" ht="52" customHeight="1" spans="1:21" x14ac:dyDescent="0.25">
      <c r="A11" s="22" t="s">
        <v>68</v>
      </c>
      <c r="B11" s="22" t="s">
        <v>303</v>
      </c>
      <c r="C11" s="22" t="s">
        <v>39</v>
      </c>
      <c r="D11" s="22" t="s">
        <v>335</v>
      </c>
      <c r="E11" s="27" t="s">
        <v>45</v>
      </c>
      <c r="F11" s="30" t="s">
        <v>53</v>
      </c>
      <c r="G11" s="22" t="s">
        <v>296</v>
      </c>
      <c r="H11" s="22" t="s">
        <v>336</v>
      </c>
      <c r="I11" s="22" t="s">
        <v>337</v>
      </c>
      <c r="J11" s="22" t="s">
        <v>338</v>
      </c>
      <c r="K11" s="22" t="s">
        <v>140</v>
      </c>
      <c r="L11" s="29" t="s">
        <v>191</v>
      </c>
      <c r="M11" s="22" t="s">
        <v>191</v>
      </c>
      <c r="N11" s="22" t="s">
        <v>192</v>
      </c>
      <c r="O11" s="22" t="s">
        <v>121</v>
      </c>
      <c r="P11" s="22" t="s">
        <v>339</v>
      </c>
      <c r="Q11" s="22" t="s">
        <v>69</v>
      </c>
      <c r="R11" s="31" t="s">
        <v>194</v>
      </c>
      <c r="S11" s="20" t="s">
        <v>67</v>
      </c>
      <c r="T11" s="22" t="s">
        <v>115</v>
      </c>
      <c r="U11" s="22" t="s">
        <v>116</v>
      </c>
    </row>
    <row r="12" ht="24" customHeight="1" spans="1:21" x14ac:dyDescent="0.25">
      <c r="A12" s="22" t="s">
        <v>340</v>
      </c>
      <c r="B12" s="22" t="s">
        <v>294</v>
      </c>
      <c r="C12" s="22" t="s">
        <v>39</v>
      </c>
      <c r="D12" s="22" t="s">
        <v>341</v>
      </c>
      <c r="E12" s="23" t="s">
        <v>44</v>
      </c>
      <c r="F12" s="30" t="s">
        <v>53</v>
      </c>
      <c r="G12" s="22" t="s">
        <v>342</v>
      </c>
      <c r="H12" s="22" t="s">
        <v>121</v>
      </c>
      <c r="I12" s="22" t="s">
        <v>343</v>
      </c>
      <c r="J12" s="22" t="s">
        <v>344</v>
      </c>
      <c r="K12" s="22" t="s">
        <v>345</v>
      </c>
      <c r="L12" s="23" t="s">
        <v>33</v>
      </c>
      <c r="M12" s="22" t="s">
        <v>110</v>
      </c>
      <c r="N12" s="22" t="s">
        <v>125</v>
      </c>
      <c r="O12" s="22" t="s">
        <v>112</v>
      </c>
      <c r="P12" s="21" t="s">
        <v>346</v>
      </c>
      <c r="Q12" s="22" t="s">
        <v>114</v>
      </c>
      <c r="R12" s="23" t="s">
        <v>36</v>
      </c>
      <c r="S12" s="22" t="s">
        <v>114</v>
      </c>
      <c r="T12" s="22" t="s">
        <v>115</v>
      </c>
      <c r="U12" s="22" t="s">
        <v>116</v>
      </c>
    </row>
    <row r="13" ht="80" customHeight="1" spans="1:21" x14ac:dyDescent="0.25">
      <c r="A13" s="22" t="s">
        <v>347</v>
      </c>
      <c r="B13" s="22" t="s">
        <v>325</v>
      </c>
      <c r="C13" s="22" t="s">
        <v>39</v>
      </c>
      <c r="D13" s="22" t="s">
        <v>348</v>
      </c>
      <c r="E13" s="28" t="s">
        <v>47</v>
      </c>
      <c r="F13" s="25" t="s">
        <v>51</v>
      </c>
      <c r="G13" s="22" t="s">
        <v>140</v>
      </c>
      <c r="H13" s="22" t="s">
        <v>121</v>
      </c>
      <c r="I13" s="22" t="s">
        <v>349</v>
      </c>
      <c r="J13" s="22" t="s">
        <v>350</v>
      </c>
      <c r="K13" s="22" t="s">
        <v>140</v>
      </c>
      <c r="L13" s="23" t="s">
        <v>33</v>
      </c>
      <c r="M13" s="22" t="s">
        <v>110</v>
      </c>
      <c r="N13" s="22" t="s">
        <v>169</v>
      </c>
      <c r="O13" s="22" t="s">
        <v>112</v>
      </c>
      <c r="P13" s="21" t="s">
        <v>351</v>
      </c>
      <c r="Q13" s="22" t="s">
        <v>114</v>
      </c>
      <c r="R13" s="23" t="s">
        <v>36</v>
      </c>
      <c r="S13" s="22" t="s">
        <v>114</v>
      </c>
      <c r="T13" s="22" t="s">
        <v>115</v>
      </c>
      <c r="U13" s="22" t="s">
        <v>116</v>
      </c>
    </row>
    <row r="14" ht="52" customHeight="1" spans="1:21" x14ac:dyDescent="0.25">
      <c r="A14" s="22" t="s">
        <v>352</v>
      </c>
      <c r="B14" s="22" t="s">
        <v>318</v>
      </c>
      <c r="C14" s="22" t="s">
        <v>39</v>
      </c>
      <c r="D14" s="22" t="s">
        <v>353</v>
      </c>
      <c r="E14" s="23" t="s">
        <v>44</v>
      </c>
      <c r="F14" s="30" t="s">
        <v>53</v>
      </c>
      <c r="G14" s="22" t="s">
        <v>140</v>
      </c>
      <c r="H14" s="22" t="s">
        <v>272</v>
      </c>
      <c r="I14" s="22" t="s">
        <v>354</v>
      </c>
      <c r="J14" s="22" t="s">
        <v>355</v>
      </c>
      <c r="K14" s="22" t="s">
        <v>140</v>
      </c>
      <c r="L14" s="29" t="s">
        <v>191</v>
      </c>
      <c r="M14" s="22" t="s">
        <v>191</v>
      </c>
      <c r="N14" s="22" t="s">
        <v>192</v>
      </c>
      <c r="O14" s="22" t="s">
        <v>121</v>
      </c>
      <c r="P14" s="22" t="s">
        <v>356</v>
      </c>
      <c r="Q14" s="22" t="s">
        <v>114</v>
      </c>
      <c r="R14" s="31" t="s">
        <v>194</v>
      </c>
      <c r="S14" s="22" t="s">
        <v>114</v>
      </c>
      <c r="T14" s="22" t="s">
        <v>115</v>
      </c>
      <c r="U14" s="22" t="s">
        <v>116</v>
      </c>
    </row>
    <row r="15" ht="38" customHeight="1" spans="1:21" x14ac:dyDescent="0.25">
      <c r="A15" s="22" t="s">
        <v>71</v>
      </c>
      <c r="B15" s="22" t="s">
        <v>303</v>
      </c>
      <c r="C15" s="22" t="s">
        <v>39</v>
      </c>
      <c r="D15" s="22" t="s">
        <v>357</v>
      </c>
      <c r="E15" s="27" t="s">
        <v>45</v>
      </c>
      <c r="F15" s="30" t="s">
        <v>53</v>
      </c>
      <c r="G15" s="22" t="s">
        <v>358</v>
      </c>
      <c r="H15" s="22" t="s">
        <v>121</v>
      </c>
      <c r="I15" s="22" t="s">
        <v>359</v>
      </c>
      <c r="J15" s="22" t="s">
        <v>360</v>
      </c>
      <c r="K15" s="22" t="s">
        <v>140</v>
      </c>
      <c r="L15" s="23" t="s">
        <v>33</v>
      </c>
      <c r="M15" s="22" t="s">
        <v>110</v>
      </c>
      <c r="N15" s="22" t="s">
        <v>125</v>
      </c>
      <c r="O15" s="22" t="s">
        <v>112</v>
      </c>
      <c r="P15" s="21" t="s">
        <v>361</v>
      </c>
      <c r="Q15" s="22" t="s">
        <v>72</v>
      </c>
      <c r="R15" s="32" t="s">
        <v>262</v>
      </c>
      <c r="S15" s="20" t="s">
        <v>70</v>
      </c>
      <c r="T15" s="22" t="s">
        <v>115</v>
      </c>
      <c r="U15" s="22" t="s">
        <v>116</v>
      </c>
    </row>
    <row r="16" ht="52" customHeight="1" spans="1:21" x14ac:dyDescent="0.25">
      <c r="A16" s="22" t="s">
        <v>362</v>
      </c>
      <c r="B16" s="22" t="s">
        <v>303</v>
      </c>
      <c r="C16" s="22" t="s">
        <v>39</v>
      </c>
      <c r="D16" s="22" t="s">
        <v>363</v>
      </c>
      <c r="E16" s="27" t="s">
        <v>45</v>
      </c>
      <c r="F16" s="25" t="s">
        <v>51</v>
      </c>
      <c r="G16" s="22" t="s">
        <v>296</v>
      </c>
      <c r="H16" s="22" t="s">
        <v>364</v>
      </c>
      <c r="I16" s="22" t="s">
        <v>365</v>
      </c>
      <c r="J16" s="22" t="s">
        <v>366</v>
      </c>
      <c r="K16" s="22" t="s">
        <v>308</v>
      </c>
      <c r="L16" s="23" t="s">
        <v>33</v>
      </c>
      <c r="M16" s="22" t="s">
        <v>110</v>
      </c>
      <c r="N16" s="22" t="s">
        <v>125</v>
      </c>
      <c r="O16" s="22" t="s">
        <v>112</v>
      </c>
      <c r="P16" s="21" t="s">
        <v>367</v>
      </c>
      <c r="Q16" s="22" t="s">
        <v>114</v>
      </c>
      <c r="R16" s="23" t="s">
        <v>36</v>
      </c>
      <c r="S16" s="22" t="s">
        <v>114</v>
      </c>
      <c r="T16" s="22" t="s">
        <v>115</v>
      </c>
      <c r="U16" s="22" t="s">
        <v>116</v>
      </c>
    </row>
    <row r="17" ht="52" customHeight="1" spans="1:21" x14ac:dyDescent="0.25">
      <c r="A17" s="22" t="s">
        <v>368</v>
      </c>
      <c r="B17" s="22" t="s">
        <v>303</v>
      </c>
      <c r="C17" s="22" t="s">
        <v>39</v>
      </c>
      <c r="D17" s="22" t="s">
        <v>369</v>
      </c>
      <c r="E17" s="27" t="s">
        <v>45</v>
      </c>
      <c r="F17" s="25" t="s">
        <v>51</v>
      </c>
      <c r="G17" s="22" t="s">
        <v>296</v>
      </c>
      <c r="H17" s="22" t="s">
        <v>370</v>
      </c>
      <c r="I17" s="22" t="s">
        <v>371</v>
      </c>
      <c r="J17" s="22" t="s">
        <v>372</v>
      </c>
      <c r="K17" s="22" t="s">
        <v>308</v>
      </c>
      <c r="L17" s="23" t="s">
        <v>33</v>
      </c>
      <c r="M17" s="22" t="s">
        <v>110</v>
      </c>
      <c r="N17" s="22" t="s">
        <v>125</v>
      </c>
      <c r="O17" s="22" t="s">
        <v>112</v>
      </c>
      <c r="P17" s="21" t="s">
        <v>373</v>
      </c>
      <c r="Q17" s="22" t="s">
        <v>114</v>
      </c>
      <c r="R17" s="23" t="s">
        <v>36</v>
      </c>
      <c r="S17" s="22" t="s">
        <v>114</v>
      </c>
      <c r="T17" s="22" t="s">
        <v>115</v>
      </c>
      <c r="U17" s="22" t="s">
        <v>116</v>
      </c>
    </row>
    <row r="18" ht="52" customHeight="1" spans="1:21" x14ac:dyDescent="0.25">
      <c r="A18" s="22" t="s">
        <v>374</v>
      </c>
      <c r="B18" s="22" t="s">
        <v>278</v>
      </c>
      <c r="C18" s="22" t="s">
        <v>39</v>
      </c>
      <c r="D18" s="22" t="s">
        <v>375</v>
      </c>
      <c r="E18" s="23" t="s">
        <v>44</v>
      </c>
      <c r="F18" s="26" t="s">
        <v>52</v>
      </c>
      <c r="G18" s="22" t="s">
        <v>296</v>
      </c>
      <c r="H18" s="22" t="s">
        <v>121</v>
      </c>
      <c r="I18" s="22" t="s">
        <v>376</v>
      </c>
      <c r="J18" s="22" t="s">
        <v>377</v>
      </c>
      <c r="K18" s="22" t="s">
        <v>378</v>
      </c>
      <c r="L18" s="23" t="s">
        <v>33</v>
      </c>
      <c r="M18" s="22" t="s">
        <v>110</v>
      </c>
      <c r="N18" s="22" t="s">
        <v>125</v>
      </c>
      <c r="O18" s="22" t="s">
        <v>112</v>
      </c>
      <c r="P18" s="21" t="s">
        <v>379</v>
      </c>
      <c r="Q18" s="22" t="s">
        <v>114</v>
      </c>
      <c r="R18" s="23" t="s">
        <v>36</v>
      </c>
      <c r="S18" s="22" t="s">
        <v>114</v>
      </c>
      <c r="T18" s="22" t="s">
        <v>115</v>
      </c>
      <c r="U18" s="22" t="s">
        <v>116</v>
      </c>
    </row>
    <row r="19" ht="52" customHeight="1" spans="1:21" x14ac:dyDescent="0.25">
      <c r="A19" s="22" t="s">
        <v>380</v>
      </c>
      <c r="B19" s="22" t="s">
        <v>278</v>
      </c>
      <c r="C19" s="22" t="s">
        <v>39</v>
      </c>
      <c r="D19" s="22" t="s">
        <v>381</v>
      </c>
      <c r="E19" s="23" t="s">
        <v>44</v>
      </c>
      <c r="F19" s="25" t="s">
        <v>51</v>
      </c>
      <c r="G19" s="22" t="s">
        <v>296</v>
      </c>
      <c r="H19" s="22" t="s">
        <v>121</v>
      </c>
      <c r="I19" s="22" t="s">
        <v>382</v>
      </c>
      <c r="J19" s="22" t="s">
        <v>383</v>
      </c>
      <c r="K19" s="22" t="s">
        <v>345</v>
      </c>
      <c r="L19" s="23" t="s">
        <v>33</v>
      </c>
      <c r="M19" s="22" t="s">
        <v>110</v>
      </c>
      <c r="N19" s="22" t="s">
        <v>125</v>
      </c>
      <c r="O19" s="22" t="s">
        <v>112</v>
      </c>
      <c r="P19" s="21" t="s">
        <v>384</v>
      </c>
      <c r="Q19" s="22" t="s">
        <v>114</v>
      </c>
      <c r="R19" s="23" t="s">
        <v>36</v>
      </c>
      <c r="S19" s="22" t="s">
        <v>114</v>
      </c>
      <c r="T19" s="22" t="s">
        <v>115</v>
      </c>
      <c r="U19" s="22" t="s">
        <v>116</v>
      </c>
    </row>
    <row r="20" ht="38" customHeight="1" spans="1:21" x14ac:dyDescent="0.25">
      <c r="A20" s="22" t="s">
        <v>74</v>
      </c>
      <c r="B20" s="22" t="s">
        <v>278</v>
      </c>
      <c r="C20" s="22" t="s">
        <v>39</v>
      </c>
      <c r="D20" s="22" t="s">
        <v>385</v>
      </c>
      <c r="E20" s="29" t="s">
        <v>46</v>
      </c>
      <c r="F20" s="26" t="s">
        <v>52</v>
      </c>
      <c r="G20" s="22" t="s">
        <v>296</v>
      </c>
      <c r="H20" s="22" t="s">
        <v>121</v>
      </c>
      <c r="I20" s="22" t="s">
        <v>386</v>
      </c>
      <c r="J20" s="22" t="s">
        <v>387</v>
      </c>
      <c r="K20" s="22" t="s">
        <v>388</v>
      </c>
      <c r="L20" s="23" t="s">
        <v>33</v>
      </c>
      <c r="M20" s="22" t="s">
        <v>110</v>
      </c>
      <c r="N20" s="22" t="s">
        <v>389</v>
      </c>
      <c r="O20" s="22" t="s">
        <v>112</v>
      </c>
      <c r="P20" s="21" t="s">
        <v>390</v>
      </c>
      <c r="Q20" s="22" t="s">
        <v>75</v>
      </c>
      <c r="R20" s="32" t="s">
        <v>262</v>
      </c>
      <c r="S20" s="20" t="s">
        <v>73</v>
      </c>
      <c r="T20" s="22" t="s">
        <v>115</v>
      </c>
      <c r="U20" s="22" t="s">
        <v>116</v>
      </c>
    </row>
    <row r="21" ht="38" customHeight="1" spans="1:21" x14ac:dyDescent="0.25">
      <c r="A21" s="22" t="s">
        <v>77</v>
      </c>
      <c r="B21" s="22" t="s">
        <v>391</v>
      </c>
      <c r="C21" s="22" t="s">
        <v>39</v>
      </c>
      <c r="D21" s="22" t="s">
        <v>392</v>
      </c>
      <c r="E21" s="28" t="s">
        <v>47</v>
      </c>
      <c r="F21" s="26" t="s">
        <v>52</v>
      </c>
      <c r="G21" s="22" t="s">
        <v>296</v>
      </c>
      <c r="H21" s="22" t="s">
        <v>393</v>
      </c>
      <c r="I21" s="22" t="s">
        <v>394</v>
      </c>
      <c r="J21" s="22" t="s">
        <v>395</v>
      </c>
      <c r="K21" s="22" t="s">
        <v>140</v>
      </c>
      <c r="L21" s="23" t="s">
        <v>33</v>
      </c>
      <c r="M21" s="22" t="s">
        <v>110</v>
      </c>
      <c r="N21" s="22" t="s">
        <v>396</v>
      </c>
      <c r="O21" s="22" t="s">
        <v>112</v>
      </c>
      <c r="P21" s="21" t="s">
        <v>397</v>
      </c>
      <c r="Q21" s="22" t="s">
        <v>78</v>
      </c>
      <c r="R21" s="32" t="s">
        <v>262</v>
      </c>
      <c r="S21" s="20" t="s">
        <v>76</v>
      </c>
      <c r="T21" s="22" t="s">
        <v>115</v>
      </c>
      <c r="U21" s="22" t="s">
        <v>116</v>
      </c>
    </row>
    <row r="22" ht="94" customHeight="1" spans="1:21" x14ac:dyDescent="0.25">
      <c r="A22" s="22" t="s">
        <v>80</v>
      </c>
      <c r="B22" s="22" t="s">
        <v>391</v>
      </c>
      <c r="C22" s="22" t="s">
        <v>39</v>
      </c>
      <c r="D22" s="22" t="s">
        <v>398</v>
      </c>
      <c r="E22" s="28" t="s">
        <v>47</v>
      </c>
      <c r="F22" s="24" t="s">
        <v>50</v>
      </c>
      <c r="G22" s="22" t="s">
        <v>140</v>
      </c>
      <c r="H22" s="22" t="s">
        <v>399</v>
      </c>
      <c r="I22" s="22" t="s">
        <v>400</v>
      </c>
      <c r="J22" s="22" t="s">
        <v>401</v>
      </c>
      <c r="K22" s="22" t="s">
        <v>140</v>
      </c>
      <c r="L22" s="23" t="s">
        <v>33</v>
      </c>
      <c r="M22" s="22" t="s">
        <v>110</v>
      </c>
      <c r="N22" s="22" t="s">
        <v>242</v>
      </c>
      <c r="O22" s="22" t="s">
        <v>112</v>
      </c>
      <c r="P22" s="21" t="s">
        <v>402</v>
      </c>
      <c r="Q22" s="22" t="s">
        <v>81</v>
      </c>
      <c r="R22" s="32" t="s">
        <v>262</v>
      </c>
      <c r="S22" s="20" t="s">
        <v>79</v>
      </c>
      <c r="T22" s="22" t="s">
        <v>115</v>
      </c>
      <c r="U22" s="22" t="s">
        <v>116</v>
      </c>
    </row>
    <row r="23" ht="66" customHeight="1" spans="1:21" x14ac:dyDescent="0.25">
      <c r="A23" s="22" t="s">
        <v>403</v>
      </c>
      <c r="B23" s="22" t="s">
        <v>325</v>
      </c>
      <c r="C23" s="22" t="s">
        <v>39</v>
      </c>
      <c r="D23" s="22" t="s">
        <v>404</v>
      </c>
      <c r="E23" s="23" t="s">
        <v>44</v>
      </c>
      <c r="F23" s="26" t="s">
        <v>52</v>
      </c>
      <c r="G23" s="22" t="s">
        <v>144</v>
      </c>
      <c r="H23" s="22" t="s">
        <v>272</v>
      </c>
      <c r="I23" s="22" t="s">
        <v>405</v>
      </c>
      <c r="J23" s="22" t="s">
        <v>406</v>
      </c>
      <c r="K23" s="22" t="s">
        <v>407</v>
      </c>
      <c r="L23" s="23" t="s">
        <v>33</v>
      </c>
      <c r="M23" s="22" t="s">
        <v>110</v>
      </c>
      <c r="N23" s="22" t="s">
        <v>125</v>
      </c>
      <c r="O23" s="22" t="s">
        <v>112</v>
      </c>
      <c r="P23" s="21" t="s">
        <v>408</v>
      </c>
      <c r="Q23" s="22" t="s">
        <v>114</v>
      </c>
      <c r="R23" s="23" t="s">
        <v>36</v>
      </c>
      <c r="S23" s="22" t="s">
        <v>114</v>
      </c>
      <c r="T23" s="22" t="s">
        <v>115</v>
      </c>
      <c r="U23" s="22" t="s">
        <v>116</v>
      </c>
    </row>
    <row r="24" ht="52" customHeight="1" spans="1:21" x14ac:dyDescent="0.25">
      <c r="A24" s="22" t="s">
        <v>409</v>
      </c>
      <c r="B24" s="22" t="s">
        <v>325</v>
      </c>
      <c r="C24" s="22" t="s">
        <v>39</v>
      </c>
      <c r="D24" s="22" t="s">
        <v>410</v>
      </c>
      <c r="E24" s="28" t="s">
        <v>47</v>
      </c>
      <c r="F24" s="26" t="s">
        <v>52</v>
      </c>
      <c r="G24" s="22" t="s">
        <v>144</v>
      </c>
      <c r="H24" s="22" t="s">
        <v>288</v>
      </c>
      <c r="I24" s="22" t="s">
        <v>411</v>
      </c>
      <c r="J24" s="22" t="s">
        <v>412</v>
      </c>
      <c r="K24" s="22" t="s">
        <v>413</v>
      </c>
      <c r="L24" s="23" t="s">
        <v>33</v>
      </c>
      <c r="M24" s="22" t="s">
        <v>110</v>
      </c>
      <c r="N24" s="22" t="s">
        <v>414</v>
      </c>
      <c r="O24" s="22" t="s">
        <v>112</v>
      </c>
      <c r="P24" s="21" t="s">
        <v>415</v>
      </c>
      <c r="Q24" s="22" t="s">
        <v>114</v>
      </c>
      <c r="R24" s="23" t="s">
        <v>36</v>
      </c>
      <c r="S24" s="22" t="s">
        <v>114</v>
      </c>
      <c r="T24" s="22" t="s">
        <v>115</v>
      </c>
      <c r="U24" s="22" t="s">
        <v>116</v>
      </c>
    </row>
    <row r="25" ht="52" customHeight="1" spans="1:21" x14ac:dyDescent="0.25">
      <c r="A25" s="22" t="s">
        <v>416</v>
      </c>
      <c r="B25" s="22" t="s">
        <v>391</v>
      </c>
      <c r="C25" s="22" t="s">
        <v>39</v>
      </c>
      <c r="D25" s="22" t="s">
        <v>417</v>
      </c>
      <c r="E25" s="28" t="s">
        <v>47</v>
      </c>
      <c r="F25" s="25" t="s">
        <v>51</v>
      </c>
      <c r="G25" s="22" t="s">
        <v>296</v>
      </c>
      <c r="H25" s="22" t="s">
        <v>418</v>
      </c>
      <c r="I25" s="22" t="s">
        <v>419</v>
      </c>
      <c r="J25" s="22" t="s">
        <v>420</v>
      </c>
      <c r="K25" s="22" t="s">
        <v>345</v>
      </c>
      <c r="L25" s="23" t="s">
        <v>33</v>
      </c>
      <c r="M25" s="22" t="s">
        <v>110</v>
      </c>
      <c r="N25" s="22" t="s">
        <v>396</v>
      </c>
      <c r="O25" s="22" t="s">
        <v>112</v>
      </c>
      <c r="P25" s="21" t="s">
        <v>421</v>
      </c>
      <c r="Q25" s="22" t="s">
        <v>114</v>
      </c>
      <c r="R25" s="23" t="s">
        <v>36</v>
      </c>
      <c r="S25" s="22" t="s">
        <v>114</v>
      </c>
      <c r="T25" s="22" t="s">
        <v>115</v>
      </c>
      <c r="U25" s="22" t="s">
        <v>116</v>
      </c>
    </row>
    <row r="26" ht="52" customHeight="1" spans="1:21" x14ac:dyDescent="0.25">
      <c r="A26" s="22" t="s">
        <v>422</v>
      </c>
      <c r="B26" s="22" t="s">
        <v>423</v>
      </c>
      <c r="C26" s="22" t="s">
        <v>39</v>
      </c>
      <c r="D26" s="22" t="s">
        <v>424</v>
      </c>
      <c r="E26" s="29" t="s">
        <v>46</v>
      </c>
      <c r="F26" s="30" t="s">
        <v>53</v>
      </c>
      <c r="G26" s="22" t="s">
        <v>296</v>
      </c>
      <c r="H26" s="22" t="s">
        <v>425</v>
      </c>
      <c r="I26" s="22" t="s">
        <v>426</v>
      </c>
      <c r="J26" s="22" t="s">
        <v>427</v>
      </c>
      <c r="K26" s="22" t="s">
        <v>345</v>
      </c>
      <c r="L26" s="23" t="s">
        <v>33</v>
      </c>
      <c r="M26" s="22" t="s">
        <v>110</v>
      </c>
      <c r="N26" s="22" t="s">
        <v>177</v>
      </c>
      <c r="O26" s="22" t="s">
        <v>112</v>
      </c>
      <c r="P26" s="21" t="s">
        <v>428</v>
      </c>
      <c r="Q26" s="22" t="s">
        <v>114</v>
      </c>
      <c r="R26" s="23" t="s">
        <v>36</v>
      </c>
      <c r="S26" s="22" t="s">
        <v>114</v>
      </c>
      <c r="T26" s="22" t="s">
        <v>115</v>
      </c>
      <c r="U26" s="22" t="s">
        <v>116</v>
      </c>
    </row>
    <row r="27" ht="66" customHeight="1" spans="1:21" x14ac:dyDescent="0.25">
      <c r="A27" s="22" t="s">
        <v>83</v>
      </c>
      <c r="B27" s="22" t="s">
        <v>303</v>
      </c>
      <c r="C27" s="22" t="s">
        <v>39</v>
      </c>
      <c r="D27" s="22" t="s">
        <v>429</v>
      </c>
      <c r="E27" s="27" t="s">
        <v>45</v>
      </c>
      <c r="F27" s="30" t="s">
        <v>53</v>
      </c>
      <c r="G27" s="22" t="s">
        <v>296</v>
      </c>
      <c r="H27" s="22" t="s">
        <v>430</v>
      </c>
      <c r="I27" s="22" t="s">
        <v>431</v>
      </c>
      <c r="J27" s="22" t="s">
        <v>432</v>
      </c>
      <c r="K27" s="22" t="s">
        <v>345</v>
      </c>
      <c r="L27" s="23" t="s">
        <v>33</v>
      </c>
      <c r="M27" s="22" t="s">
        <v>110</v>
      </c>
      <c r="N27" s="22" t="s">
        <v>177</v>
      </c>
      <c r="O27" s="22" t="s">
        <v>112</v>
      </c>
      <c r="P27" s="21" t="s">
        <v>433</v>
      </c>
      <c r="Q27" s="22" t="s">
        <v>84</v>
      </c>
      <c r="R27" s="32" t="s">
        <v>262</v>
      </c>
      <c r="S27" s="20" t="s">
        <v>82</v>
      </c>
      <c r="T27" s="22" t="s">
        <v>115</v>
      </c>
      <c r="U27" s="22" t="s">
        <v>116</v>
      </c>
    </row>
    <row r="28" ht="66" customHeight="1" spans="1:21" x14ac:dyDescent="0.25">
      <c r="A28" s="22" t="s">
        <v>434</v>
      </c>
      <c r="B28" s="22" t="s">
        <v>318</v>
      </c>
      <c r="C28" s="22" t="s">
        <v>39</v>
      </c>
      <c r="D28" s="22" t="s">
        <v>435</v>
      </c>
      <c r="E28" s="23" t="s">
        <v>44</v>
      </c>
      <c r="F28" s="26" t="s">
        <v>52</v>
      </c>
      <c r="G28" s="22" t="s">
        <v>140</v>
      </c>
      <c r="H28" s="22" t="s">
        <v>436</v>
      </c>
      <c r="I28" s="22" t="s">
        <v>437</v>
      </c>
      <c r="J28" s="22" t="s">
        <v>438</v>
      </c>
      <c r="K28" s="22" t="s">
        <v>439</v>
      </c>
      <c r="L28" s="23" t="s">
        <v>33</v>
      </c>
      <c r="M28" s="22" t="s">
        <v>110</v>
      </c>
      <c r="N28" s="22" t="s">
        <v>125</v>
      </c>
      <c r="O28" s="22" t="s">
        <v>112</v>
      </c>
      <c r="P28" s="21" t="s">
        <v>440</v>
      </c>
      <c r="Q28" s="22" t="s">
        <v>114</v>
      </c>
      <c r="R28" s="23" t="s">
        <v>36</v>
      </c>
      <c r="S28" s="22" t="s">
        <v>114</v>
      </c>
      <c r="T28" s="22" t="s">
        <v>115</v>
      </c>
      <c r="U28" s="22" t="s">
        <v>116</v>
      </c>
    </row>
  </sheetData>
  <autoFilter ref="A1:U1"/>
  <dataValidations count="12">
    <dataValidation type="list" showErrorMessage="1" errorTitle="Invalid value" error="Please choose a value from the dropdown list (see the hidden Lists sheet)." sqref="C10:C28">
      <formula1>Lists!$A$2:$A$3</formula1>
    </dataValidation>
    <dataValidation type="list" showErrorMessage="1" errorTitle="Invalid value" error="Please choose a value from the dropdown list (see the hidden Lists sheet)." sqref="C2:C28">
      <formula1>Lists!$A$2:$A$3</formula1>
    </dataValidation>
    <dataValidation type="list" showErrorMessage="1" errorTitle="Invalid value" error="Please choose a value from the dropdown list (see the hidden Lists sheet)." sqref="E10:E28">
      <formula1>Lists!$B$2:$B$5</formula1>
    </dataValidation>
    <dataValidation type="list" showErrorMessage="1" errorTitle="Invalid value" error="Please choose a value from the dropdown list (see the hidden Lists sheet)." sqref="E2:E28">
      <formula1>Lists!$B$2:$B$5</formula1>
    </dataValidation>
    <dataValidation type="list" showErrorMessage="1" errorTitle="Invalid value" error="Please choose a value from the dropdown list (see the hidden Lists sheet)." sqref="F10:F28">
      <formula1>Lists!$C$2:$C$5</formula1>
    </dataValidation>
    <dataValidation type="list" showErrorMessage="1" errorTitle="Invalid value" error="Please choose a value from the dropdown list (see the hidden Lists sheet)." sqref="F2:F28">
      <formula1>Lists!$C$2:$C$5</formula1>
    </dataValidation>
    <dataValidation type="list" showErrorMessage="1" errorTitle="Invalid value" error="Please choose a value from the dropdown list (see the hidden Lists sheet)." sqref="L10:L28">
      <formula1>Lists!$D$2:$D$4</formula1>
    </dataValidation>
    <dataValidation type="list" showErrorMessage="1" errorTitle="Invalid value" error="Please choose a value from the dropdown list (see the hidden Lists sheet)." sqref="L2:L28">
      <formula1>Lists!$D$2:$D$4</formula1>
    </dataValidation>
    <dataValidation type="list" showErrorMessage="1" errorTitle="Invalid value" error="Please choose a value from the dropdown list (see the hidden Lists sheet)." sqref="M10:M28">
      <formula1>Lists!$E$2:$E$4</formula1>
    </dataValidation>
    <dataValidation type="list" showErrorMessage="1" errorTitle="Invalid value" error="Please choose a value from the dropdown list (see the hidden Lists sheet)." sqref="M2:M28">
      <formula1>Lists!$E$2:$E$4</formula1>
    </dataValidation>
    <dataValidation type="list" showErrorMessage="1" errorTitle="Invalid value" error="Please choose a value from the dropdown list (see the hidden Lists sheet)." sqref="R10:R28">
      <formula1>Lists!$F$2:$F$4</formula1>
    </dataValidation>
    <dataValidation type="list" showErrorMessage="1" errorTitle="Invalid value" error="Please choose a value from the dropdown list (see the hidden Lists sheet)." sqref="R2:R28">
      <formula1>Lists!$F$2:$F$4</formula1>
    </dataValidation>
  </dataValidations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2" r:id="rId9"/>
    <hyperlink ref="P13" r:id="rId10"/>
    <hyperlink ref="P15" r:id="rId11"/>
    <hyperlink ref="P16" r:id="rId12"/>
    <hyperlink ref="P17" r:id="rId13"/>
    <hyperlink ref="P18" r:id="rId14"/>
    <hyperlink ref="P19" r:id="rId15"/>
    <hyperlink ref="P20" r:id="rId16"/>
    <hyperlink ref="P21" r:id="rId17"/>
    <hyperlink ref="P22" r:id="rId18"/>
    <hyperlink ref="P23" r:id="rId19"/>
    <hyperlink ref="P24" r:id="rId20"/>
    <hyperlink ref="P25" r:id="rId21"/>
    <hyperlink ref="P26" r:id="rId22"/>
    <hyperlink ref="P27" r:id="rId23"/>
    <hyperlink ref="P28" r:id="rId2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55" customWidth="1"/>
    <col min="4" max="4" width="40" customWidth="1"/>
    <col min="5" max="5" width="12" customWidth="1"/>
    <col min="6" max="6" width="14" customWidth="1"/>
    <col min="7" max="7" width="12" customWidth="1"/>
  </cols>
  <sheetData>
    <row r="1" ht="22" customHeight="1" spans="1:7" x14ac:dyDescent="0.25">
      <c r="A1" s="6" t="s">
        <v>86</v>
      </c>
      <c r="B1" s="6" t="s">
        <v>31</v>
      </c>
      <c r="C1" s="6" t="s">
        <v>441</v>
      </c>
      <c r="D1" s="6" t="s">
        <v>442</v>
      </c>
      <c r="E1" s="6" t="s">
        <v>33</v>
      </c>
      <c r="F1" s="6" t="s">
        <v>34</v>
      </c>
      <c r="G1" s="6" t="s">
        <v>443</v>
      </c>
    </row>
    <row r="2" ht="34" customHeight="1" spans="1:7" x14ac:dyDescent="0.25">
      <c r="A2" s="22" t="s">
        <v>103</v>
      </c>
      <c r="B2" s="22" t="s">
        <v>38</v>
      </c>
      <c r="C2" s="22" t="s">
        <v>444</v>
      </c>
      <c r="D2" s="22" t="s">
        <v>445</v>
      </c>
      <c r="E2" s="22">
        <f>COUNTIFS('Login Cases'!B2:B24,"REQ-LOGIN-AUTH",'Login Cases'!L2:L24,"Automated")</f>
      </c>
      <c r="F2" s="22">
        <f>COUNTIFS('Login Cases'!B2:B24,"REQ-LOGIN-AUTH")-COUNTIFS('Login Cases'!B2:B24,"REQ-LOGIN-AUTH",'Login Cases'!L2:L24,"Automated")</f>
      </c>
      <c r="G2" s="22">
        <f>IF(COUNTIFS('Login Cases'!B2:B24,"REQ-LOGIN-AUTH")=0,"No coverage",IF(COUNTIFS('Login Cases'!B2:B24,"REQ-LOGIN-AUTH")=E2,"Full","Partial"))</f>
      </c>
    </row>
    <row r="3" ht="34" customHeight="1" spans="1:7" x14ac:dyDescent="0.25">
      <c r="A3" s="22" t="s">
        <v>118</v>
      </c>
      <c r="B3" s="22" t="s">
        <v>38</v>
      </c>
      <c r="C3" s="22" t="s">
        <v>446</v>
      </c>
      <c r="D3" s="22" t="s">
        <v>117</v>
      </c>
      <c r="E3" s="22">
        <f>COUNTIFS('Login Cases'!B2:B24,"REQ-LOGIN-LOGOUT",'Login Cases'!L2:L24,"Automated")</f>
      </c>
      <c r="F3" s="22">
        <f>COUNTIFS('Login Cases'!B2:B24,"REQ-LOGIN-LOGOUT")-COUNTIFS('Login Cases'!B2:B24,"REQ-LOGIN-LOGOUT",'Login Cases'!L2:L24,"Automated")</f>
      </c>
      <c r="G3" s="22">
        <f>IF(COUNTIFS('Login Cases'!B2:B24,"REQ-LOGIN-LOGOUT")=0,"No coverage",IF(COUNTIFS('Login Cases'!B2:B24,"REQ-LOGIN-LOGOUT")=E3,"Full","Partial"))</f>
      </c>
    </row>
    <row r="4" ht="34" customHeight="1" spans="1:7" x14ac:dyDescent="0.25">
      <c r="A4" s="22" t="s">
        <v>150</v>
      </c>
      <c r="B4" s="22" t="s">
        <v>38</v>
      </c>
      <c r="C4" s="22" t="s">
        <v>447</v>
      </c>
      <c r="D4" s="22" t="s">
        <v>448</v>
      </c>
      <c r="E4" s="22">
        <f>COUNTIFS('Login Cases'!B2:B24,"REQ-LOGIN-VALIDATE",'Login Cases'!L2:L24,"Automated")</f>
      </c>
      <c r="F4" s="22">
        <f>COUNTIFS('Login Cases'!B2:B24,"REQ-LOGIN-VALIDATE")-COUNTIFS('Login Cases'!B2:B24,"REQ-LOGIN-VALIDATE",'Login Cases'!L2:L24,"Automated")</f>
      </c>
      <c r="G4" s="22">
        <f>IF(COUNTIFS('Login Cases'!B2:B24,"REQ-LOGIN-VALIDATE")=0,"No coverage",IF(COUNTIFS('Login Cases'!B2:B24,"REQ-LOGIN-VALIDATE")=E4,"Full","Partial"))</f>
      </c>
    </row>
    <row r="5" ht="48" customHeight="1" spans="1:7" x14ac:dyDescent="0.25">
      <c r="A5" s="22" t="s">
        <v>134</v>
      </c>
      <c r="B5" s="22" t="s">
        <v>38</v>
      </c>
      <c r="C5" s="22" t="s">
        <v>449</v>
      </c>
      <c r="D5" s="22" t="s">
        <v>450</v>
      </c>
      <c r="E5" s="22">
        <f>COUNTIFS('Login Cases'!B2:B24,"REQ-LOGIN-NEGATIVE",'Login Cases'!L2:L24,"Automated")</f>
      </c>
      <c r="F5" s="22">
        <f>COUNTIFS('Login Cases'!B2:B24,"REQ-LOGIN-NEGATIVE")-COUNTIFS('Login Cases'!B2:B24,"REQ-LOGIN-NEGATIVE",'Login Cases'!L2:L24,"Automated")</f>
      </c>
      <c r="G5" s="22">
        <f>IF(COUNTIFS('Login Cases'!B2:B24,"REQ-LOGIN-NEGATIVE")=0,"No coverage",IF(COUNTIFS('Login Cases'!B2:B24,"REQ-LOGIN-NEGATIVE")=E5,"Full","Partial"))</f>
      </c>
    </row>
    <row r="6" ht="48" customHeight="1" spans="1:7" x14ac:dyDescent="0.25">
      <c r="A6" s="22" t="s">
        <v>164</v>
      </c>
      <c r="B6" s="22" t="s">
        <v>38</v>
      </c>
      <c r="C6" s="22" t="s">
        <v>451</v>
      </c>
      <c r="D6" s="22" t="s">
        <v>452</v>
      </c>
      <c r="E6" s="22">
        <f>COUNTIFS('Login Cases'!B2:B24,"REQ-LOGIN-SECURITY",'Login Cases'!L2:L24,"Automated")</f>
      </c>
      <c r="F6" s="22">
        <f>COUNTIFS('Login Cases'!B2:B24,"REQ-LOGIN-SECURITY")-COUNTIFS('Login Cases'!B2:B24,"REQ-LOGIN-SECURITY",'Login Cases'!L2:L24,"Automated")</f>
      </c>
      <c r="G6" s="22">
        <f>IF(COUNTIFS('Login Cases'!B2:B24,"REQ-LOGIN-SECURITY")=0,"No coverage",IF(COUNTIFS('Login Cases'!B2:B24,"REQ-LOGIN-SECURITY")=E6,"Full","Partial"))</f>
      </c>
    </row>
    <row r="7" ht="34" customHeight="1" spans="1:7" x14ac:dyDescent="0.25">
      <c r="A7" s="22" t="s">
        <v>172</v>
      </c>
      <c r="B7" s="22" t="s">
        <v>38</v>
      </c>
      <c r="C7" s="22" t="s">
        <v>453</v>
      </c>
      <c r="D7" s="22" t="s">
        <v>454</v>
      </c>
      <c r="E7" s="22">
        <f>COUNTIFS('Login Cases'!B2:B24,"REQ-LOGIN-RESILIENCE",'Login Cases'!L2:L24,"Automated")</f>
      </c>
      <c r="F7" s="22">
        <f>COUNTIFS('Login Cases'!B2:B24,"REQ-LOGIN-RESILIENCE")-COUNTIFS('Login Cases'!B2:B24,"REQ-LOGIN-RESILIENCE",'Login Cases'!L2:L24,"Automated")</f>
      </c>
      <c r="G7" s="22">
        <f>IF(COUNTIFS('Login Cases'!B2:B24,"REQ-LOGIN-RESILIENCE")=0,"No coverage",IF(COUNTIFS('Login Cases'!B2:B24,"REQ-LOGIN-RESILIENCE")=E7,"Full","Partial"))</f>
      </c>
    </row>
    <row r="8" ht="34" customHeight="1" spans="1:7" x14ac:dyDescent="0.25">
      <c r="A8" s="22" t="s">
        <v>202</v>
      </c>
      <c r="B8" s="22" t="s">
        <v>38</v>
      </c>
      <c r="C8" s="22" t="s">
        <v>455</v>
      </c>
      <c r="D8" s="22" t="s">
        <v>456</v>
      </c>
      <c r="E8" s="22">
        <f>COUNTIFS('Login Cases'!B2:B24,"REQ-LOGIN-UX",'Login Cases'!L2:L24,"Automated")</f>
      </c>
      <c r="F8" s="22">
        <f>COUNTIFS('Login Cases'!B2:B24,"REQ-LOGIN-UX")-COUNTIFS('Login Cases'!B2:B24,"REQ-LOGIN-UX",'Login Cases'!L2:L24,"Automated")</f>
      </c>
      <c r="G8" s="22">
        <f>IF(COUNTIFS('Login Cases'!B2:B24,"REQ-LOGIN-UX")=0,"No coverage",IF(COUNTIFS('Login Cases'!B2:B24,"REQ-LOGIN-UX")=E8,"Full","Partial"))</f>
      </c>
    </row>
    <row r="9" ht="34" customHeight="1" spans="1:7" x14ac:dyDescent="0.25">
      <c r="A9" s="22" t="s">
        <v>269</v>
      </c>
      <c r="B9" s="22" t="s">
        <v>39</v>
      </c>
      <c r="C9" s="22" t="s">
        <v>457</v>
      </c>
      <c r="D9" s="22" t="s">
        <v>458</v>
      </c>
      <c r="E9" s="22">
        <f>COUNTIFS('Cart &amp; Checkout Cases'!B2:B28,"REQ-CART-ADD",'Cart &amp; Checkout Cases'!L2:L28,"Automated")</f>
      </c>
      <c r="F9" s="22">
        <f>COUNTIFS('Cart &amp; Checkout Cases'!B2:B28,"REQ-CART-ADD")-COUNTIFS('Cart &amp; Checkout Cases'!B2:B28,"REQ-CART-ADD",'Cart &amp; Checkout Cases'!L2:L28,"Automated")</f>
      </c>
      <c r="G9" s="22">
        <f>IF(COUNTIFS('Cart &amp; Checkout Cases'!B2:B28,"REQ-CART-ADD")=0,"No coverage",IF(COUNTIFS('Cart &amp; Checkout Cases'!B2:B28,"REQ-CART-ADD")=E9,"Full","Partial"))</f>
      </c>
    </row>
    <row r="10" ht="34" customHeight="1" spans="1:7" x14ac:dyDescent="0.25">
      <c r="A10" s="22" t="s">
        <v>318</v>
      </c>
      <c r="B10" s="22" t="s">
        <v>39</v>
      </c>
      <c r="C10" s="22" t="s">
        <v>459</v>
      </c>
      <c r="D10" s="22" t="s">
        <v>460</v>
      </c>
      <c r="E10" s="22">
        <f>COUNTIFS('Cart &amp; Checkout Cases'!B2:B28,"REQ-CART-VIEW",'Cart &amp; Checkout Cases'!L2:L28,"Automated")</f>
      </c>
      <c r="F10" s="22">
        <f>COUNTIFS('Cart &amp; Checkout Cases'!B2:B28,"REQ-CART-VIEW")-COUNTIFS('Cart &amp; Checkout Cases'!B2:B28,"REQ-CART-VIEW",'Cart &amp; Checkout Cases'!L2:L28,"Automated")</f>
      </c>
      <c r="G10" s="22">
        <f>IF(COUNTIFS('Cart &amp; Checkout Cases'!B2:B28,"REQ-CART-VIEW")=0,"No coverage",IF(COUNTIFS('Cart &amp; Checkout Cases'!B2:B28,"REQ-CART-VIEW")=E10,"Full","Partial"))</f>
      </c>
    </row>
    <row r="11" ht="34" customHeight="1" spans="1:7" x14ac:dyDescent="0.25">
      <c r="A11" s="22" t="s">
        <v>294</v>
      </c>
      <c r="B11" s="22" t="s">
        <v>39</v>
      </c>
      <c r="C11" s="22" t="s">
        <v>461</v>
      </c>
      <c r="D11" s="22" t="s">
        <v>462</v>
      </c>
      <c r="E11" s="22">
        <f>COUNTIFS('Cart &amp; Checkout Cases'!B2:B28,"REQ-CART-DELETE",'Cart &amp; Checkout Cases'!L2:L28,"Automated")</f>
      </c>
      <c r="F11" s="22">
        <f>COUNTIFS('Cart &amp; Checkout Cases'!B2:B28,"REQ-CART-DELETE")-COUNTIFS('Cart &amp; Checkout Cases'!B2:B28,"REQ-CART-DELETE",'Cart &amp; Checkout Cases'!L2:L28,"Automated")</f>
      </c>
      <c r="G11" s="22">
        <f>IF(COUNTIFS('Cart &amp; Checkout Cases'!B2:B28,"REQ-CART-DELETE")=0,"No coverage",IF(COUNTIFS('Cart &amp; Checkout Cases'!B2:B28,"REQ-CART-DELETE")=E11,"Full","Partial"))</f>
      </c>
    </row>
    <row r="12" ht="48" customHeight="1" spans="1:7" x14ac:dyDescent="0.25">
      <c r="A12" s="22" t="s">
        <v>325</v>
      </c>
      <c r="B12" s="22" t="s">
        <v>39</v>
      </c>
      <c r="C12" s="22" t="s">
        <v>463</v>
      </c>
      <c r="D12" s="22" t="s">
        <v>464</v>
      </c>
      <c r="E12" s="22">
        <f>COUNTIFS('Cart &amp; Checkout Cases'!B2:B28,"REQ-CART-IDENTITY",'Cart &amp; Checkout Cases'!L2:L28,"Automated")</f>
      </c>
      <c r="F12" s="22">
        <f>COUNTIFS('Cart &amp; Checkout Cases'!B2:B28,"REQ-CART-IDENTITY")-COUNTIFS('Cart &amp; Checkout Cases'!B2:B28,"REQ-CART-IDENTITY",'Cart &amp; Checkout Cases'!L2:L28,"Automated")</f>
      </c>
      <c r="G12" s="22">
        <f>IF(COUNTIFS('Cart &amp; Checkout Cases'!B2:B28,"REQ-CART-IDENTITY")=0,"No coverage",IF(COUNTIFS('Cart &amp; Checkout Cases'!B2:B28,"REQ-CART-IDENTITY")=E12,"Full","Partial"))</f>
      </c>
    </row>
    <row r="13" ht="48" customHeight="1" spans="1:7" x14ac:dyDescent="0.25">
      <c r="A13" s="22" t="s">
        <v>303</v>
      </c>
      <c r="B13" s="22" t="s">
        <v>39</v>
      </c>
      <c r="C13" s="22" t="s">
        <v>465</v>
      </c>
      <c r="D13" s="22" t="s">
        <v>466</v>
      </c>
      <c r="E13" s="22">
        <f>COUNTIFS('Cart &amp; Checkout Cases'!B2:B28,"REQ-CART-CHECKOUT-VALIDATE",'Cart &amp; Checkout Cases'!L2:L28,"Automated")</f>
      </c>
      <c r="F13" s="22">
        <f>COUNTIFS('Cart &amp; Checkout Cases'!B2:B28,"REQ-CART-CHECKOUT-VALIDATE")-COUNTIFS('Cart &amp; Checkout Cases'!B2:B28,"REQ-CART-CHECKOUT-VALIDATE",'Cart &amp; Checkout Cases'!L2:L28,"Automated")</f>
      </c>
      <c r="G13" s="22">
        <f>IF(COUNTIFS('Cart &amp; Checkout Cases'!B2:B28,"REQ-CART-CHECKOUT-VALIDATE")=0,"No coverage",IF(COUNTIFS('Cart &amp; Checkout Cases'!B2:B28,"REQ-CART-CHECKOUT-VALIDATE")=E13,"Full","Partial"))</f>
      </c>
    </row>
    <row r="14" ht="48" customHeight="1" spans="1:7" x14ac:dyDescent="0.25">
      <c r="A14" s="22" t="s">
        <v>278</v>
      </c>
      <c r="B14" s="22" t="s">
        <v>39</v>
      </c>
      <c r="C14" s="22" t="s">
        <v>467</v>
      </c>
      <c r="D14" s="22" t="s">
        <v>468</v>
      </c>
      <c r="E14" s="22">
        <f>COUNTIFS('Cart &amp; Checkout Cases'!B2:B28,"REQ-CART-CHECKOUT-SUBMIT",'Cart &amp; Checkout Cases'!L2:L28,"Automated")</f>
      </c>
      <c r="F14" s="22">
        <f>COUNTIFS('Cart &amp; Checkout Cases'!B2:B28,"REQ-CART-CHECKOUT-SUBMIT")-COUNTIFS('Cart &amp; Checkout Cases'!B2:B28,"REQ-CART-CHECKOUT-SUBMIT",'Cart &amp; Checkout Cases'!L2:L28,"Automated")</f>
      </c>
      <c r="G14" s="22">
        <f>IF(COUNTIFS('Cart &amp; Checkout Cases'!B2:B28,"REQ-CART-CHECKOUT-SUBMIT")=0,"No coverage",IF(COUNTIFS('Cart &amp; Checkout Cases'!B2:B28,"REQ-CART-CHECKOUT-SUBMIT")=E14,"Full","Partial"))</f>
      </c>
    </row>
    <row r="15" ht="48" customHeight="1" spans="1:7" x14ac:dyDescent="0.25">
      <c r="A15" s="22" t="s">
        <v>391</v>
      </c>
      <c r="B15" s="22" t="s">
        <v>39</v>
      </c>
      <c r="C15" s="22" t="s">
        <v>469</v>
      </c>
      <c r="D15" s="22" t="s">
        <v>470</v>
      </c>
      <c r="E15" s="22">
        <f>COUNTIFS('Cart &amp; Checkout Cases'!B2:B28,"REQ-CART-SECURITY",'Cart &amp; Checkout Cases'!L2:L28,"Automated")</f>
      </c>
      <c r="F15" s="22">
        <f>COUNTIFS('Cart &amp; Checkout Cases'!B2:B28,"REQ-CART-SECURITY")-COUNTIFS('Cart &amp; Checkout Cases'!B2:B28,"REQ-CART-SECURITY",'Cart &amp; Checkout Cases'!L2:L28,"Automated")</f>
      </c>
      <c r="G15" s="22">
        <f>IF(COUNTIFS('Cart &amp; Checkout Cases'!B2:B28,"REQ-CART-SECURITY")=0,"No coverage",IF(COUNTIFS('Cart &amp; Checkout Cases'!B2:B28,"REQ-CART-SECURITY")=E15,"Full","Partial"))</f>
      </c>
    </row>
    <row r="16" ht="34" customHeight="1" spans="1:7" x14ac:dyDescent="0.25">
      <c r="A16" s="22" t="s">
        <v>423</v>
      </c>
      <c r="B16" s="22" t="s">
        <v>39</v>
      </c>
      <c r="C16" s="22" t="s">
        <v>471</v>
      </c>
      <c r="D16" s="22" t="s">
        <v>422</v>
      </c>
      <c r="E16" s="22">
        <f>COUNTIFS('Cart &amp; Checkout Cases'!B2:B28,"REQ-CART-RESILIENCE",'Cart &amp; Checkout Cases'!L2:L28,"Automated")</f>
      </c>
      <c r="F16" s="22">
        <f>COUNTIFS('Cart &amp; Checkout Cases'!B2:B28,"REQ-CART-RESILIENCE")-COUNTIFS('Cart &amp; Checkout Cases'!B2:B28,"REQ-CART-RESILIENCE",'Cart &amp; Checkout Cases'!L2:L28,"Automated")</f>
      </c>
      <c r="G16" s="22">
        <f>IF(COUNTIFS('Cart &amp; Checkout Cases'!B2:B28,"REQ-CART-RESILIENCE")=0,"No coverage",IF(COUNTIFS('Cart &amp; Checkout Cases'!B2:B28,"REQ-CART-RESILIENCE")=E16,"Full","Partial"))</f>
      </c>
    </row>
  </sheetData>
  <dataValidations count="2">
    <dataValidation type="list" showErrorMessage="1" errorTitle="Invalid value" error="Please choose a value from the dropdown list (see the hidden Lists sheet)." sqref="B10:B16">
      <formula1>Lists!$A$2:$A$3</formula1>
    </dataValidation>
    <dataValidation type="list" showErrorMessage="1" errorTitle="Invalid value" error="Please choose a value from the dropdown list (see the hidden Lists sheet)." sqref="B2:B16">
      <formula1>Lists!$A$2:$A$3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6" customWidth="1"/>
    <col min="5" max="5" width="10" customWidth="1"/>
    <col min="6" max="6" width="16" customWidth="1"/>
  </cols>
  <sheetData>
    <row r="1" spans="1:6" x14ac:dyDescent="0.25">
      <c r="A1" t="s">
        <v>31</v>
      </c>
      <c r="B1" t="s">
        <v>42</v>
      </c>
      <c r="C1" t="s">
        <v>49</v>
      </c>
      <c r="D1" t="s">
        <v>93</v>
      </c>
      <c r="E1" t="s">
        <v>94</v>
      </c>
      <c r="F1" t="s">
        <v>99</v>
      </c>
    </row>
    <row r="2" spans="1:6" x14ac:dyDescent="0.25">
      <c r="A2" t="s">
        <v>38</v>
      </c>
      <c r="B2" t="s">
        <v>44</v>
      </c>
      <c r="C2" t="s">
        <v>50</v>
      </c>
      <c r="D2" t="s">
        <v>33</v>
      </c>
      <c r="E2" t="s">
        <v>110</v>
      </c>
      <c r="F2" t="s">
        <v>36</v>
      </c>
    </row>
    <row r="3" spans="1:6" x14ac:dyDescent="0.25">
      <c r="A3" t="s">
        <v>39</v>
      </c>
      <c r="B3" t="s">
        <v>45</v>
      </c>
      <c r="C3" t="s">
        <v>51</v>
      </c>
      <c r="D3" t="s">
        <v>191</v>
      </c>
      <c r="E3" t="s">
        <v>472</v>
      </c>
      <c r="F3" t="s">
        <v>262</v>
      </c>
    </row>
    <row r="4" spans="1:6" x14ac:dyDescent="0.25">
      <c r="A4" t="s">
        <v>114</v>
      </c>
      <c r="B4" t="s">
        <v>46</v>
      </c>
      <c r="C4" t="s">
        <v>52</v>
      </c>
      <c r="D4" t="s">
        <v>473</v>
      </c>
      <c r="E4" t="s">
        <v>191</v>
      </c>
      <c r="F4" t="s">
        <v>194</v>
      </c>
    </row>
    <row r="5" spans="1:6" x14ac:dyDescent="0.25">
      <c r="A5" t="s">
        <v>114</v>
      </c>
      <c r="B5" t="s">
        <v>47</v>
      </c>
      <c r="C5" t="s">
        <v>53</v>
      </c>
      <c r="D5" t="s">
        <v>114</v>
      </c>
      <c r="E5" t="s">
        <v>114</v>
      </c>
      <c r="F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 &amp; Assumptions</vt:lpstr>
      <vt:lpstr>Coverage Dashboard</vt:lpstr>
      <vt:lpstr>Login Cases</vt:lpstr>
      <vt:lpstr>Cart &amp; Checkout Cases</vt:lpstr>
      <vt:lpstr>Requirements Traceability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demoblaze-qa-automation</dc:creator>
  <dc:title/>
  <dc:subject/>
  <dc:description/>
  <cp:keywords/>
  <cp:category/>
  <cp:lastModifiedBy>Unknown</cp:lastModifiedBy>
  <cp:lastPrinted>2026-08-14T08:39:50Z</cp:lastPrinted>
  <dcterms:created xsi:type="dcterms:W3CDTF">2026-08-14T08:39:50Z</dcterms:created>
  <dcterms:modified xsi:type="dcterms:W3CDTF">2026-08-14T08:39:50Z</dcterms:modified>
</cp:coreProperties>
</file>